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ujro\Downloads\"/>
    </mc:Choice>
  </mc:AlternateContent>
  <xr:revisionPtr revIDLastSave="0" documentId="13_ncr:1_{F21287A2-DAAC-49AD-86F8-F6890C062707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Gammel karakteristikk" sheetId="1" r:id="rId1"/>
    <sheet name="090125 Karakteristikk" sheetId="2" r:id="rId2"/>
    <sheet name="090725 Karakteristikk 101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6" i="3" l="1"/>
  <c r="W46" i="3"/>
  <c r="S46" i="3"/>
  <c r="I20" i="3" s="1"/>
  <c r="O46" i="3"/>
  <c r="K46" i="3"/>
  <c r="F20" i="3" s="1"/>
  <c r="G46" i="3"/>
  <c r="C46" i="3"/>
  <c r="X45" i="3"/>
  <c r="W45" i="3"/>
  <c r="S45" i="3"/>
  <c r="I19" i="3" s="1"/>
  <c r="O45" i="3"/>
  <c r="K45" i="3"/>
  <c r="G45" i="3"/>
  <c r="C45" i="3"/>
  <c r="C19" i="3" s="1"/>
  <c r="S44" i="3"/>
  <c r="K44" i="3"/>
  <c r="C44" i="3"/>
  <c r="S43" i="3"/>
  <c r="K43" i="3"/>
  <c r="C43" i="3"/>
  <c r="X42" i="3"/>
  <c r="W42" i="3"/>
  <c r="S42" i="3"/>
  <c r="I16" i="3" s="1"/>
  <c r="O42" i="3"/>
  <c r="K42" i="3"/>
  <c r="F16" i="3" s="1"/>
  <c r="G42" i="3"/>
  <c r="C42" i="3"/>
  <c r="X41" i="3"/>
  <c r="W41" i="3"/>
  <c r="S41" i="3"/>
  <c r="O41" i="3"/>
  <c r="K41" i="3"/>
  <c r="G41" i="3"/>
  <c r="C41" i="3"/>
  <c r="C15" i="3" s="1"/>
  <c r="S40" i="3"/>
  <c r="K40" i="3"/>
  <c r="C40" i="3"/>
  <c r="S39" i="3"/>
  <c r="K39" i="3"/>
  <c r="C39" i="3"/>
  <c r="S38" i="3"/>
  <c r="K38" i="3"/>
  <c r="C38" i="3"/>
  <c r="S37" i="3"/>
  <c r="K37" i="3"/>
  <c r="F11" i="3" s="1"/>
  <c r="C37" i="3"/>
  <c r="S36" i="3"/>
  <c r="K36" i="3"/>
  <c r="C36" i="3"/>
  <c r="S35" i="3"/>
  <c r="K35" i="3"/>
  <c r="C35" i="3"/>
  <c r="C9" i="3" s="1"/>
  <c r="S34" i="3"/>
  <c r="K34" i="3"/>
  <c r="C34" i="3"/>
  <c r="S33" i="3"/>
  <c r="K33" i="3"/>
  <c r="C33" i="3"/>
  <c r="S32" i="3"/>
  <c r="K32" i="3"/>
  <c r="C32" i="3"/>
  <c r="X31" i="3"/>
  <c r="W31" i="3"/>
  <c r="S31" i="3" s="1"/>
  <c r="I5" i="3" s="1"/>
  <c r="O31" i="3"/>
  <c r="K31" i="3" s="1"/>
  <c r="F5" i="3" s="1"/>
  <c r="C31" i="3"/>
  <c r="C20" i="3"/>
  <c r="F19" i="3"/>
  <c r="I18" i="3"/>
  <c r="F18" i="3"/>
  <c r="C18" i="3"/>
  <c r="I17" i="3"/>
  <c r="F17" i="3"/>
  <c r="C17" i="3"/>
  <c r="C16" i="3"/>
  <c r="I15" i="3"/>
  <c r="F15" i="3"/>
  <c r="I14" i="3"/>
  <c r="F14" i="3"/>
  <c r="C14" i="3"/>
  <c r="I13" i="3"/>
  <c r="F13" i="3"/>
  <c r="C13" i="3"/>
  <c r="I12" i="3"/>
  <c r="F12" i="3"/>
  <c r="C12" i="3"/>
  <c r="I11" i="3"/>
  <c r="C11" i="3"/>
  <c r="I10" i="3"/>
  <c r="F10" i="3"/>
  <c r="C10" i="3"/>
  <c r="I9" i="3"/>
  <c r="F9" i="3"/>
  <c r="I8" i="3"/>
  <c r="F8" i="3"/>
  <c r="C8" i="3"/>
  <c r="I7" i="3"/>
  <c r="F7" i="3"/>
  <c r="C7" i="3"/>
  <c r="I6" i="3"/>
  <c r="F6" i="3"/>
  <c r="C6" i="3"/>
  <c r="C5" i="3"/>
  <c r="B5" i="3"/>
  <c r="H97" i="2"/>
  <c r="D97" i="2"/>
  <c r="C97" i="2"/>
  <c r="H96" i="2"/>
  <c r="D96" i="2"/>
  <c r="C96" i="2"/>
  <c r="H95" i="2"/>
  <c r="D95" i="2" s="1"/>
  <c r="L58" i="2" s="1"/>
  <c r="Q58" i="2" s="1"/>
  <c r="C95" i="2"/>
  <c r="H94" i="2"/>
  <c r="D94" i="2" s="1"/>
  <c r="L57" i="2" s="1"/>
  <c r="Q57" i="2" s="1"/>
  <c r="C94" i="2"/>
  <c r="H93" i="2"/>
  <c r="D93" i="2" s="1"/>
  <c r="L56" i="2" s="1"/>
  <c r="Q56" i="2" s="1"/>
  <c r="C93" i="2"/>
  <c r="H92" i="2"/>
  <c r="D92" i="2"/>
  <c r="L55" i="2" s="1"/>
  <c r="Q55" i="2" s="1"/>
  <c r="C92" i="2"/>
  <c r="H90" i="2"/>
  <c r="D90" i="2"/>
  <c r="C90" i="2"/>
  <c r="H89" i="2"/>
  <c r="D89" i="2" s="1"/>
  <c r="J59" i="2" s="1"/>
  <c r="P59" i="2" s="1"/>
  <c r="C89" i="2"/>
  <c r="H88" i="2"/>
  <c r="D88" i="2" s="1"/>
  <c r="J58" i="2" s="1"/>
  <c r="P58" i="2" s="1"/>
  <c r="C88" i="2"/>
  <c r="H87" i="2"/>
  <c r="D87" i="2"/>
  <c r="C87" i="2"/>
  <c r="H86" i="2"/>
  <c r="D86" i="2" s="1"/>
  <c r="J56" i="2" s="1"/>
  <c r="P56" i="2" s="1"/>
  <c r="C86" i="2"/>
  <c r="H85" i="2"/>
  <c r="D85" i="2"/>
  <c r="C85" i="2"/>
  <c r="H83" i="2"/>
  <c r="D83" i="2" s="1"/>
  <c r="H60" i="2" s="1"/>
  <c r="O60" i="2" s="1"/>
  <c r="C83" i="2"/>
  <c r="H82" i="2"/>
  <c r="D82" i="2" s="1"/>
  <c r="H59" i="2" s="1"/>
  <c r="O59" i="2" s="1"/>
  <c r="C82" i="2"/>
  <c r="H81" i="2"/>
  <c r="D81" i="2" s="1"/>
  <c r="H58" i="2" s="1"/>
  <c r="O58" i="2" s="1"/>
  <c r="C81" i="2"/>
  <c r="H80" i="2"/>
  <c r="D80" i="2" s="1"/>
  <c r="H57" i="2" s="1"/>
  <c r="O57" i="2" s="1"/>
  <c r="C80" i="2"/>
  <c r="H79" i="2"/>
  <c r="D79" i="2" s="1"/>
  <c r="H56" i="2" s="1"/>
  <c r="O56" i="2" s="1"/>
  <c r="C79" i="2"/>
  <c r="H78" i="2"/>
  <c r="D78" i="2" s="1"/>
  <c r="H55" i="2" s="1"/>
  <c r="O55" i="2" s="1"/>
  <c r="C78" i="2"/>
  <c r="H76" i="2"/>
  <c r="D76" i="2" s="1"/>
  <c r="F60" i="2" s="1"/>
  <c r="N60" i="2" s="1"/>
  <c r="C76" i="2"/>
  <c r="H75" i="2"/>
  <c r="D75" i="2" s="1"/>
  <c r="F59" i="2" s="1"/>
  <c r="N59" i="2" s="1"/>
  <c r="C75" i="2"/>
  <c r="H74" i="2"/>
  <c r="D74" i="2" s="1"/>
  <c r="F58" i="2" s="1"/>
  <c r="N58" i="2" s="1"/>
  <c r="C74" i="2"/>
  <c r="H73" i="2"/>
  <c r="D73" i="2"/>
  <c r="C73" i="2"/>
  <c r="H72" i="2"/>
  <c r="D72" i="2" s="1"/>
  <c r="F56" i="2" s="1"/>
  <c r="N56" i="2" s="1"/>
  <c r="C72" i="2"/>
  <c r="H71" i="2"/>
  <c r="D71" i="2"/>
  <c r="C71" i="2"/>
  <c r="H69" i="2"/>
  <c r="D69" i="2"/>
  <c r="D60" i="2" s="1"/>
  <c r="M60" i="2" s="1"/>
  <c r="C69" i="2"/>
  <c r="H68" i="2"/>
  <c r="D68" i="2"/>
  <c r="D59" i="2" s="1"/>
  <c r="M59" i="2" s="1"/>
  <c r="C68" i="2"/>
  <c r="H67" i="2"/>
  <c r="D67" i="2" s="1"/>
  <c r="D58" i="2" s="1"/>
  <c r="M58" i="2" s="1"/>
  <c r="C67" i="2"/>
  <c r="L66" i="2"/>
  <c r="H66" i="2"/>
  <c r="D66" i="2" s="1"/>
  <c r="D57" i="2" s="1"/>
  <c r="M57" i="2" s="1"/>
  <c r="C66" i="2"/>
  <c r="H65" i="2"/>
  <c r="D65" i="2" s="1"/>
  <c r="D56" i="2" s="1"/>
  <c r="M56" i="2" s="1"/>
  <c r="C65" i="2"/>
  <c r="H64" i="2"/>
  <c r="D64" i="2" s="1"/>
  <c r="D55" i="2" s="1"/>
  <c r="M55" i="2" s="1"/>
  <c r="C64" i="2"/>
  <c r="P60" i="2"/>
  <c r="L60" i="2"/>
  <c r="Q60" i="2" s="1"/>
  <c r="J60" i="2"/>
  <c r="L59" i="2"/>
  <c r="Q59" i="2" s="1"/>
  <c r="P57" i="2"/>
  <c r="J57" i="2"/>
  <c r="F57" i="2"/>
  <c r="N57" i="2" s="1"/>
  <c r="J55" i="2"/>
  <c r="P55" i="2" s="1"/>
  <c r="F55" i="2"/>
  <c r="N55" i="2" s="1"/>
  <c r="H46" i="2"/>
  <c r="D46" i="2" s="1"/>
  <c r="L9" i="2" s="1"/>
  <c r="Q9" i="2" s="1"/>
  <c r="H45" i="2"/>
  <c r="D45" i="2" s="1"/>
  <c r="L8" i="2" s="1"/>
  <c r="Q8" i="2" s="1"/>
  <c r="H44" i="2"/>
  <c r="D44" i="2"/>
  <c r="L7" i="2" s="1"/>
  <c r="Q7" i="2" s="1"/>
  <c r="H43" i="2"/>
  <c r="D43" i="2"/>
  <c r="L6" i="2" s="1"/>
  <c r="Q6" i="2" s="1"/>
  <c r="H42" i="2"/>
  <c r="D42" i="2"/>
  <c r="L5" i="2" s="1"/>
  <c r="Q5" i="2" s="1"/>
  <c r="H41" i="2"/>
  <c r="D41" i="2"/>
  <c r="L4" i="2" s="1"/>
  <c r="Q4" i="2" s="1"/>
  <c r="H39" i="2"/>
  <c r="D39" i="2"/>
  <c r="H38" i="2"/>
  <c r="D38" i="2" s="1"/>
  <c r="J8" i="2" s="1"/>
  <c r="P8" i="2" s="1"/>
  <c r="H37" i="2"/>
  <c r="D37" i="2" s="1"/>
  <c r="J7" i="2" s="1"/>
  <c r="P7" i="2" s="1"/>
  <c r="H36" i="2"/>
  <c r="D36" i="2" s="1"/>
  <c r="J6" i="2" s="1"/>
  <c r="P6" i="2" s="1"/>
  <c r="H35" i="2"/>
  <c r="D35" i="2" s="1"/>
  <c r="J5" i="2" s="1"/>
  <c r="P5" i="2" s="1"/>
  <c r="H34" i="2"/>
  <c r="D34" i="2" s="1"/>
  <c r="J4" i="2" s="1"/>
  <c r="P4" i="2" s="1"/>
  <c r="H32" i="2"/>
  <c r="D32" i="2"/>
  <c r="H9" i="2" s="1"/>
  <c r="O9" i="2" s="1"/>
  <c r="H31" i="2"/>
  <c r="D31" i="2"/>
  <c r="H8" i="2" s="1"/>
  <c r="O8" i="2" s="1"/>
  <c r="H30" i="2"/>
  <c r="D30" i="2"/>
  <c r="H7" i="2" s="1"/>
  <c r="O7" i="2" s="1"/>
  <c r="H29" i="2"/>
  <c r="D29" i="2"/>
  <c r="H6" i="2" s="1"/>
  <c r="O6" i="2" s="1"/>
  <c r="H28" i="2"/>
  <c r="D28" i="2"/>
  <c r="H27" i="2"/>
  <c r="D27" i="2" s="1"/>
  <c r="H4" i="2" s="1"/>
  <c r="O4" i="2" s="1"/>
  <c r="H25" i="2"/>
  <c r="D25" i="2" s="1"/>
  <c r="F9" i="2" s="1"/>
  <c r="N9" i="2" s="1"/>
  <c r="H24" i="2"/>
  <c r="D24" i="2"/>
  <c r="H23" i="2"/>
  <c r="D23" i="2"/>
  <c r="F7" i="2" s="1"/>
  <c r="N7" i="2" s="1"/>
  <c r="H22" i="2"/>
  <c r="D22" i="2"/>
  <c r="F6" i="2" s="1"/>
  <c r="N6" i="2" s="1"/>
  <c r="H21" i="2"/>
  <c r="D21" i="2"/>
  <c r="H20" i="2"/>
  <c r="D20" i="2"/>
  <c r="L19" i="2"/>
  <c r="H18" i="2"/>
  <c r="D18" i="2"/>
  <c r="D9" i="2" s="1"/>
  <c r="M9" i="2" s="1"/>
  <c r="H17" i="2"/>
  <c r="D17" i="2" s="1"/>
  <c r="D8" i="2" s="1"/>
  <c r="M8" i="2" s="1"/>
  <c r="H16" i="2"/>
  <c r="D16" i="2"/>
  <c r="H15" i="2"/>
  <c r="D15" i="2"/>
  <c r="D6" i="2" s="1"/>
  <c r="M6" i="2" s="1"/>
  <c r="H14" i="2"/>
  <c r="D14" i="2" s="1"/>
  <c r="D5" i="2" s="1"/>
  <c r="M5" i="2" s="1"/>
  <c r="H13" i="2"/>
  <c r="D13" i="2" s="1"/>
  <c r="D4" i="2" s="1"/>
  <c r="M4" i="2" s="1"/>
  <c r="J9" i="2"/>
  <c r="P9" i="2" s="1"/>
  <c r="N8" i="2"/>
  <c r="F8" i="2"/>
  <c r="M7" i="2"/>
  <c r="D7" i="2"/>
  <c r="O5" i="2"/>
  <c r="H5" i="2"/>
  <c r="F5" i="2"/>
  <c r="N5" i="2" s="1"/>
  <c r="F4" i="2"/>
  <c r="N4" i="2" s="1"/>
  <c r="G47" i="1"/>
  <c r="C47" i="1" s="1"/>
  <c r="H33" i="1" s="1"/>
  <c r="M33" i="1" s="1"/>
  <c r="G46" i="1"/>
  <c r="C46" i="1" s="1"/>
  <c r="H32" i="1" s="1"/>
  <c r="M32" i="1" s="1"/>
  <c r="G45" i="1"/>
  <c r="C45" i="1"/>
  <c r="G43" i="1"/>
  <c r="C43" i="1"/>
  <c r="F33" i="1" s="1"/>
  <c r="K33" i="1" s="1"/>
  <c r="G42" i="1"/>
  <c r="C42" i="1"/>
  <c r="G41" i="1"/>
  <c r="C41" i="1" s="1"/>
  <c r="F31" i="1" s="1"/>
  <c r="K31" i="1" s="1"/>
  <c r="G39" i="1"/>
  <c r="C39" i="1" s="1"/>
  <c r="D33" i="1" s="1"/>
  <c r="I33" i="1" s="1"/>
  <c r="N33" i="1" s="1"/>
  <c r="G38" i="1"/>
  <c r="C38" i="1"/>
  <c r="D32" i="1" s="1"/>
  <c r="I32" i="1" s="1"/>
  <c r="G37" i="1"/>
  <c r="C37" i="1"/>
  <c r="F32" i="1"/>
  <c r="K32" i="1" s="1"/>
  <c r="H31" i="1"/>
  <c r="M31" i="1" s="1"/>
  <c r="D31" i="1"/>
  <c r="I31" i="1" s="1"/>
  <c r="N31" i="1" s="1"/>
  <c r="G20" i="1"/>
  <c r="C20" i="1" s="1"/>
  <c r="H6" i="1" s="1"/>
  <c r="M6" i="1" s="1"/>
  <c r="G19" i="1"/>
  <c r="C19" i="1" s="1"/>
  <c r="H5" i="1" s="1"/>
  <c r="M5" i="1" s="1"/>
  <c r="G18" i="1"/>
  <c r="C18" i="1"/>
  <c r="G16" i="1"/>
  <c r="C16" i="1"/>
  <c r="F6" i="1" s="1"/>
  <c r="K6" i="1" s="1"/>
  <c r="G15" i="1"/>
  <c r="C15" i="1"/>
  <c r="G14" i="1"/>
  <c r="C14" i="1"/>
  <c r="F4" i="1" s="1"/>
  <c r="K4" i="1" s="1"/>
  <c r="G12" i="1"/>
  <c r="C12" i="1"/>
  <c r="D6" i="1" s="1"/>
  <c r="I6" i="1" s="1"/>
  <c r="G11" i="1"/>
  <c r="C11" i="1"/>
  <c r="G10" i="1"/>
  <c r="C10" i="1"/>
  <c r="F5" i="1"/>
  <c r="K5" i="1" s="1"/>
  <c r="D5" i="1"/>
  <c r="I5" i="1" s="1"/>
  <c r="M4" i="1"/>
  <c r="H4" i="1"/>
  <c r="D4" i="1"/>
  <c r="I4" i="1" s="1"/>
  <c r="N4" i="1" s="1"/>
  <c r="N32" i="1" l="1"/>
  <c r="N6" i="1"/>
  <c r="R7" i="2"/>
  <c r="S26" i="2" s="1"/>
  <c r="R4" i="2"/>
  <c r="S23" i="2" s="1"/>
  <c r="R6" i="2"/>
  <c r="S25" i="2" s="1"/>
  <c r="R59" i="2"/>
  <c r="S15" i="2" s="1"/>
  <c r="N5" i="1"/>
  <c r="R55" i="2"/>
  <c r="S19" i="2" s="1"/>
  <c r="R5" i="2"/>
  <c r="S24" i="2" s="1"/>
  <c r="R56" i="2"/>
  <c r="S18" i="2" s="1"/>
  <c r="R57" i="2"/>
  <c r="S17" i="2" s="1"/>
  <c r="R8" i="2"/>
  <c r="S27" i="2" s="1"/>
  <c r="R58" i="2"/>
  <c r="S16" i="2" s="1"/>
  <c r="R9" i="2"/>
  <c r="S28" i="2" s="1"/>
  <c r="R60" i="2"/>
  <c r="S14" i="2" s="1"/>
</calcChain>
</file>

<file path=xl/sharedStrings.xml><?xml version="1.0" encoding="utf-8"?>
<sst xmlns="http://schemas.openxmlformats.org/spreadsheetml/2006/main" count="151" uniqueCount="40">
  <si>
    <t>u\Ps</t>
  </si>
  <si>
    <t>Pb</t>
  </si>
  <si>
    <t>Q</t>
  </si>
  <si>
    <t>K</t>
  </si>
  <si>
    <t>Avr.</t>
  </si>
  <si>
    <t>Intervals</t>
  </si>
  <si>
    <t xml:space="preserve"> (11,8-12,8)</t>
  </si>
  <si>
    <t>(11,3-14,7)</t>
  </si>
  <si>
    <t>(22,3-24,3)</t>
  </si>
  <si>
    <t>(11,9-14,4)</t>
  </si>
  <si>
    <t>(13,5-16,2)</t>
  </si>
  <si>
    <t>(19,6-23)</t>
  </si>
  <si>
    <t>(11,7-14,8)</t>
  </si>
  <si>
    <t>(12,7-16,5)</t>
  </si>
  <si>
    <t>(21,3-23,5)</t>
  </si>
  <si>
    <t>Flow [l/min]</t>
  </si>
  <si>
    <t>start [m]</t>
  </si>
  <si>
    <t>slutt [m]</t>
  </si>
  <si>
    <t>t [s]</t>
  </si>
  <si>
    <t>m/s 2 l/min</t>
  </si>
  <si>
    <t>Dead Up</t>
  </si>
  <si>
    <t>Dead Down</t>
  </si>
  <si>
    <t>Pa</t>
  </si>
  <si>
    <t xml:space="preserve"> (84,5-77,6)</t>
  </si>
  <si>
    <t xml:space="preserve"> (88,0-82,3)</t>
  </si>
  <si>
    <t xml:space="preserve"> (94,0-87,8)</t>
  </si>
  <si>
    <t xml:space="preserve"> (84,6-79,3)</t>
  </si>
  <si>
    <t xml:space="preserve"> (90,5-85,7)</t>
  </si>
  <si>
    <t xml:space="preserve"> (96,6-94,3)</t>
  </si>
  <si>
    <t xml:space="preserve"> (85,3-81,7)</t>
  </si>
  <si>
    <t xml:space="preserve"> (93,0-89,8)</t>
  </si>
  <si>
    <t xml:space="preserve"> (96,7-88,9)</t>
  </si>
  <si>
    <t>Signal</t>
  </si>
  <si>
    <t>Nye K-verdier</t>
  </si>
  <si>
    <t>Gamle K-verdier</t>
  </si>
  <si>
    <t>Q_Calc</t>
  </si>
  <si>
    <t>Q_Meas</t>
  </si>
  <si>
    <t>0,8-1,6</t>
  </si>
  <si>
    <t>Start[Bar]</t>
  </si>
  <si>
    <t>Slutt[Bar]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</si>
</sst>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/>
    <xf numFmtId="0" fontId="1" fillId="3" borderId="5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0" xfId="0" applyFont="1"/>
    <xf numFmtId="0" fontId="5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4" xfId="0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3" fillId="0" borderId="6" xfId="0" applyFont="1" applyBorder="1"/>
    <xf numFmtId="0" fontId="1" fillId="0" borderId="0" xfId="0" applyFont="1" applyAlignment="1">
      <alignment horizontal="center" vertical="center"/>
    </xf>
    <xf numFmtId="0" fontId="3" fillId="0" borderId="7" xfId="0" applyFont="1" applyBorder="1"/>
    <xf numFmtId="0" fontId="1" fillId="4" borderId="0" xfId="0" applyFont="1" applyFill="1" applyAlignment="1">
      <alignment horizontal="center" vertical="center"/>
    </xf>
    <xf numFmtId="0" fontId="0" fillId="4" borderId="0" xfId="0" applyFill="1"/>
    <xf numFmtId="2" fontId="1" fillId="4" borderId="0" xfId="0" applyNumberFormat="1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'090125 Karakteristikk'!$R$14:$R$28</c:f>
              <c:numCache>
                <c:formatCode>General</c:formatCode>
                <c:ptCount val="15"/>
                <c:pt idx="0">
                  <c:v>-1</c:v>
                </c:pt>
                <c:pt idx="1">
                  <c:v>-0.8</c:v>
                </c:pt>
                <c:pt idx="2">
                  <c:v>-0.7</c:v>
                </c:pt>
                <c:pt idx="3">
                  <c:v>-0.6</c:v>
                </c:pt>
                <c:pt idx="4">
                  <c:v>-0.4</c:v>
                </c:pt>
                <c:pt idx="5">
                  <c:v>-0.2</c:v>
                </c:pt>
                <c:pt idx="6">
                  <c:v>-0.13</c:v>
                </c:pt>
                <c:pt idx="7">
                  <c:v>0</c:v>
                </c:pt>
                <c:pt idx="8">
                  <c:v>0.12</c:v>
                </c:pt>
                <c:pt idx="9">
                  <c:v>0.2</c:v>
                </c:pt>
                <c:pt idx="10">
                  <c:v>0.4</c:v>
                </c:pt>
                <c:pt idx="11">
                  <c:v>0.6</c:v>
                </c:pt>
                <c:pt idx="12">
                  <c:v>0.7</c:v>
                </c:pt>
                <c:pt idx="13">
                  <c:v>0.8</c:v>
                </c:pt>
                <c:pt idx="14">
                  <c:v>1</c:v>
                </c:pt>
              </c:numCache>
            </c:numRef>
          </c:cat>
          <c:val>
            <c:numRef>
              <c:f>'090125 Karakteristikk'!$S$14:$S$28</c:f>
              <c:numCache>
                <c:formatCode>0.00</c:formatCode>
                <c:ptCount val="15"/>
                <c:pt idx="0">
                  <c:v>5.7136451265196415</c:v>
                </c:pt>
                <c:pt idx="1">
                  <c:v>5.08653304633056</c:v>
                </c:pt>
                <c:pt idx="2">
                  <c:v>4.5881867191512926</c:v>
                </c:pt>
                <c:pt idx="3">
                  <c:v>3.4164220181796621</c:v>
                </c:pt>
                <c:pt idx="4">
                  <c:v>2.2908096692330036</c:v>
                </c:pt>
                <c:pt idx="5">
                  <c:v>0.77918277397566682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>
                  <c:v>0.74766075832614187</c:v>
                </c:pt>
                <c:pt idx="10">
                  <c:v>2.1661558091612365</c:v>
                </c:pt>
                <c:pt idx="11">
                  <c:v>3.3888785859988944</c:v>
                </c:pt>
                <c:pt idx="12">
                  <c:v>3.9852198585518166</c:v>
                </c:pt>
                <c:pt idx="13">
                  <c:v>4.5515117321186329</c:v>
                </c:pt>
                <c:pt idx="14">
                  <c:v>4.843725249092687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6E-4922-A9D3-AFD35204E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0340654"/>
        <c:axId val="1645450159"/>
      </c:lineChart>
      <c:catAx>
        <c:axId val="1160340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nb-N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nb-NO"/>
          </a:p>
        </c:txPr>
        <c:crossAx val="1645450159"/>
        <c:crosses val="autoZero"/>
        <c:auto val="1"/>
        <c:lblAlgn val="ctr"/>
        <c:lblOffset val="100"/>
        <c:noMultiLvlLbl val="1"/>
      </c:catAx>
      <c:valAx>
        <c:axId val="16454501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nb-NO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nb-NO"/>
          </a:p>
        </c:txPr>
        <c:crossAx val="116034065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nb-N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nb-NO" b="0">
                <a:solidFill>
                  <a:srgbClr val="757575"/>
                </a:solidFill>
                <a:latin typeface="+mn-lt"/>
              </a:rPr>
              <a:t> vs. Gamle K-verdier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'090125 Karakteristikk'!$U$14:$U$28</c:f>
              <c:numCache>
                <c:formatCode>General</c:formatCode>
                <c:ptCount val="15"/>
                <c:pt idx="0">
                  <c:v>-1</c:v>
                </c:pt>
                <c:pt idx="1">
                  <c:v>-0.8</c:v>
                </c:pt>
                <c:pt idx="2">
                  <c:v>-0.7</c:v>
                </c:pt>
                <c:pt idx="3">
                  <c:v>-0.6</c:v>
                </c:pt>
                <c:pt idx="4">
                  <c:v>-0.4</c:v>
                </c:pt>
                <c:pt idx="5">
                  <c:v>-0.2</c:v>
                </c:pt>
                <c:pt idx="6">
                  <c:v>-0.13</c:v>
                </c:pt>
                <c:pt idx="7">
                  <c:v>0</c:v>
                </c:pt>
                <c:pt idx="8">
                  <c:v>0.12</c:v>
                </c:pt>
                <c:pt idx="9">
                  <c:v>0.2</c:v>
                </c:pt>
                <c:pt idx="10">
                  <c:v>0.4</c:v>
                </c:pt>
                <c:pt idx="11">
                  <c:v>0.6</c:v>
                </c:pt>
                <c:pt idx="12">
                  <c:v>0.7</c:v>
                </c:pt>
                <c:pt idx="13">
                  <c:v>0.8</c:v>
                </c:pt>
                <c:pt idx="14">
                  <c:v>1</c:v>
                </c:pt>
              </c:numCache>
            </c:numRef>
          </c:cat>
          <c:val>
            <c:numRef>
              <c:f>'090125 Karakteristikk'!$V$14:$V$28</c:f>
              <c:numCache>
                <c:formatCode>General</c:formatCode>
                <c:ptCount val="15"/>
                <c:pt idx="0">
                  <c:v>5.68</c:v>
                </c:pt>
                <c:pt idx="1">
                  <c:v>4.9400000000000004</c:v>
                </c:pt>
                <c:pt idx="2">
                  <c:v>4.54</c:v>
                </c:pt>
                <c:pt idx="3">
                  <c:v>3.27</c:v>
                </c:pt>
                <c:pt idx="4">
                  <c:v>2.2999999999999998</c:v>
                </c:pt>
                <c:pt idx="5">
                  <c:v>0.78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0.75</c:v>
                </c:pt>
                <c:pt idx="10">
                  <c:v>2.21</c:v>
                </c:pt>
                <c:pt idx="11">
                  <c:v>3.45</c:v>
                </c:pt>
                <c:pt idx="12">
                  <c:v>3.96</c:v>
                </c:pt>
                <c:pt idx="13">
                  <c:v>4.6100000000000003</c:v>
                </c:pt>
                <c:pt idx="14">
                  <c:v>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D-4162-ABB3-FD16848E8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703436"/>
        <c:axId val="1775722912"/>
      </c:lineChart>
      <c:catAx>
        <c:axId val="1720703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nb-NO" b="0">
                    <a:solidFill>
                      <a:srgbClr val="000000"/>
                    </a:solidFill>
                    <a:latin typeface="+mn-lt"/>
                  </a:rPr>
                  <a:t>Gamle K-verdier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nb-NO"/>
          </a:p>
        </c:txPr>
        <c:crossAx val="1775722912"/>
        <c:crosses val="autoZero"/>
        <c:auto val="1"/>
        <c:lblAlgn val="ctr"/>
        <c:lblOffset val="100"/>
        <c:noMultiLvlLbl val="1"/>
      </c:catAx>
      <c:valAx>
        <c:axId val="17757229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nb-N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nb-NO"/>
          </a:p>
        </c:txPr>
        <c:crossAx val="17207034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nb-N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390525</xdr:colOff>
      <xdr:row>19</xdr:row>
      <xdr:rowOff>85725</xdr:rowOff>
    </xdr:from>
    <xdr:ext cx="7239000" cy="4476750"/>
    <xdr:graphicFrame macro="">
      <xdr:nvGraphicFramePr>
        <xdr:cNvPr id="2" name="Chart 1" title="Diagra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16</xdr:col>
      <xdr:colOff>762000</xdr:colOff>
      <xdr:row>30</xdr:row>
      <xdr:rowOff>28575</xdr:rowOff>
    </xdr:from>
    <xdr:ext cx="5715000" cy="3533775"/>
    <xdr:graphicFrame macro="">
      <xdr:nvGraphicFramePr>
        <xdr:cNvPr id="3" name="Chart 2" title="Diagram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1"/>
  <sheetViews>
    <sheetView zoomScale="55" zoomScaleNormal="55" workbookViewId="0"/>
  </sheetViews>
  <sheetFormatPr defaultColWidth="12.59765625" defaultRowHeight="15.75" customHeight="1" x14ac:dyDescent="0.35"/>
  <cols>
    <col min="11" max="11" width="13.73046875" customWidth="1"/>
    <col min="13" max="13" width="13.73046875" customWidth="1"/>
    <col min="16" max="16" width="13.73046875" customWidth="1"/>
  </cols>
  <sheetData>
    <row r="1" spans="1:30" x14ac:dyDescent="0.35">
      <c r="A1" s="1"/>
      <c r="B1" s="1"/>
      <c r="C1" s="1"/>
      <c r="D1" s="1"/>
      <c r="E1" s="1"/>
      <c r="F1" s="1"/>
      <c r="G1" s="1"/>
      <c r="H1" s="1"/>
      <c r="I1" s="1"/>
      <c r="N1" s="2"/>
      <c r="Z1" s="1"/>
      <c r="AA1" s="1"/>
      <c r="AB1" s="1"/>
      <c r="AC1" s="1"/>
      <c r="AD1" s="1"/>
    </row>
    <row r="2" spans="1:30" x14ac:dyDescent="0.35">
      <c r="A2" s="1"/>
      <c r="B2" s="19" t="s">
        <v>0</v>
      </c>
      <c r="C2" s="21">
        <v>35</v>
      </c>
      <c r="D2" s="22"/>
      <c r="E2" s="21">
        <v>60</v>
      </c>
      <c r="F2" s="22"/>
      <c r="G2" s="21">
        <v>85</v>
      </c>
      <c r="H2" s="22"/>
      <c r="I2" s="1"/>
      <c r="J2" s="1"/>
      <c r="K2" s="1"/>
      <c r="L2" s="1"/>
      <c r="M2" s="1"/>
      <c r="N2" s="2"/>
      <c r="Z2" s="1"/>
      <c r="AA2" s="1"/>
      <c r="AB2" s="1"/>
      <c r="AC2" s="1"/>
      <c r="AD2" s="1"/>
    </row>
    <row r="3" spans="1:30" x14ac:dyDescent="0.35">
      <c r="A3" s="1"/>
      <c r="B3" s="20"/>
      <c r="C3" s="3" t="s">
        <v>1</v>
      </c>
      <c r="D3" s="3" t="s">
        <v>2</v>
      </c>
      <c r="E3" s="3" t="s">
        <v>1</v>
      </c>
      <c r="F3" s="3" t="s">
        <v>2</v>
      </c>
      <c r="G3" s="3" t="s">
        <v>1</v>
      </c>
      <c r="H3" s="3" t="s">
        <v>2</v>
      </c>
      <c r="I3" s="1" t="s">
        <v>3</v>
      </c>
      <c r="J3" s="1"/>
      <c r="K3" s="1" t="s">
        <v>3</v>
      </c>
      <c r="L3" s="1"/>
      <c r="M3" s="1" t="s">
        <v>3</v>
      </c>
      <c r="N3" s="4" t="s">
        <v>4</v>
      </c>
      <c r="O3" s="23" t="s">
        <v>5</v>
      </c>
      <c r="P3" s="24"/>
      <c r="Q3" s="24"/>
      <c r="Z3" s="1"/>
      <c r="AA3" s="1"/>
      <c r="AB3" s="1"/>
      <c r="AC3" s="1"/>
    </row>
    <row r="4" spans="1:30" x14ac:dyDescent="0.35">
      <c r="A4" s="1"/>
      <c r="B4" s="5">
        <v>0.4</v>
      </c>
      <c r="C4" s="6">
        <v>12.3</v>
      </c>
      <c r="D4" s="7">
        <f t="shared" ref="D4:D6" si="0">C10</f>
        <v>-9.9450917647058823</v>
      </c>
      <c r="E4" s="6">
        <v>13</v>
      </c>
      <c r="F4" s="7">
        <f t="shared" ref="F4:F6" si="1">C14</f>
        <v>-14.828941176470588</v>
      </c>
      <c r="G4" s="6">
        <v>23.3</v>
      </c>
      <c r="H4" s="8">
        <f t="shared" ref="H4:H6" si="2">C18</f>
        <v>-18.594276923076922</v>
      </c>
      <c r="I4" s="1">
        <f t="shared" ref="I4:I6" si="3">D4/(C$2-C4)^0.5</f>
        <v>-2.0873528353878736</v>
      </c>
      <c r="J4" s="1"/>
      <c r="K4" s="1">
        <f t="shared" ref="K4:K6" si="4">F4/(E$2-E4)^0.5</f>
        <v>-2.1630233786286608</v>
      </c>
      <c r="L4" s="1"/>
      <c r="M4" s="1">
        <f t="shared" ref="M4:M6" si="5">H4/(G$2-G4)^0.5</f>
        <v>-2.3672095954763388</v>
      </c>
      <c r="N4" s="2">
        <f t="shared" ref="N4:N6" si="6">SUM(I4:M4)/3</f>
        <v>-2.2058619364976244</v>
      </c>
      <c r="O4" s="9" t="s">
        <v>6</v>
      </c>
      <c r="P4" s="9" t="s">
        <v>7</v>
      </c>
      <c r="Q4" s="9" t="s">
        <v>8</v>
      </c>
      <c r="Z4" s="1"/>
      <c r="AA4" s="1"/>
      <c r="AB4" s="1"/>
      <c r="AC4" s="1"/>
    </row>
    <row r="5" spans="1:30" x14ac:dyDescent="0.35">
      <c r="A5" s="1"/>
      <c r="B5" s="5">
        <v>0.7</v>
      </c>
      <c r="C5" s="6">
        <v>13.15</v>
      </c>
      <c r="D5" s="7">
        <f t="shared" si="0"/>
        <v>-16.963199999999997</v>
      </c>
      <c r="E5" s="6">
        <v>14.85</v>
      </c>
      <c r="F5" s="7">
        <f t="shared" si="1"/>
        <v>-27.565199999999994</v>
      </c>
      <c r="G5" s="6">
        <v>21.3</v>
      </c>
      <c r="H5" s="8">
        <f t="shared" si="2"/>
        <v>-33.101799999999997</v>
      </c>
      <c r="I5" s="1">
        <f t="shared" si="3"/>
        <v>-3.6289590027276768</v>
      </c>
      <c r="J5" s="1"/>
      <c r="K5" s="1">
        <f t="shared" si="4"/>
        <v>-4.1023458460412083</v>
      </c>
      <c r="L5" s="1"/>
      <c r="M5" s="1">
        <f t="shared" si="5"/>
        <v>-4.1474570204996306</v>
      </c>
      <c r="N5" s="2">
        <f t="shared" si="6"/>
        <v>-3.9595872897561719</v>
      </c>
      <c r="O5" s="9" t="s">
        <v>9</v>
      </c>
      <c r="P5" s="9" t="s">
        <v>10</v>
      </c>
      <c r="Q5" s="9" t="s">
        <v>11</v>
      </c>
      <c r="Z5" s="1"/>
      <c r="AA5" s="1"/>
      <c r="AB5" s="1"/>
      <c r="AC5" s="1"/>
    </row>
    <row r="6" spans="1:30" x14ac:dyDescent="0.35">
      <c r="A6" s="1"/>
      <c r="B6" s="5">
        <v>1</v>
      </c>
      <c r="C6" s="6">
        <v>13.25</v>
      </c>
      <c r="D6" s="7">
        <f t="shared" si="0"/>
        <v>-20.527930434782611</v>
      </c>
      <c r="E6" s="6">
        <v>14.6</v>
      </c>
      <c r="F6" s="7">
        <f t="shared" si="1"/>
        <v>-32.730276923076921</v>
      </c>
      <c r="G6" s="6">
        <v>22.4</v>
      </c>
      <c r="H6" s="8">
        <f t="shared" si="2"/>
        <v>-37.524654545454538</v>
      </c>
      <c r="I6" s="1">
        <f t="shared" si="3"/>
        <v>-4.4016503066817396</v>
      </c>
      <c r="J6" s="1"/>
      <c r="K6" s="1">
        <f t="shared" si="4"/>
        <v>-4.857600038899264</v>
      </c>
      <c r="L6" s="1"/>
      <c r="M6" s="1">
        <f t="shared" si="5"/>
        <v>-4.7427423935348774</v>
      </c>
      <c r="N6" s="2">
        <f t="shared" si="6"/>
        <v>-4.6673309130386267</v>
      </c>
      <c r="O6" s="9" t="s">
        <v>12</v>
      </c>
      <c r="P6" s="9" t="s">
        <v>13</v>
      </c>
      <c r="Q6" s="9" t="s">
        <v>14</v>
      </c>
      <c r="Z6" s="1"/>
      <c r="AA6" s="1"/>
      <c r="AB6" s="1"/>
      <c r="AC6" s="1"/>
    </row>
    <row r="7" spans="1:30" x14ac:dyDescent="0.35">
      <c r="A7" s="1"/>
      <c r="B7" s="1"/>
      <c r="C7" s="1"/>
      <c r="D7" s="1"/>
      <c r="E7" s="1"/>
      <c r="F7" s="1"/>
      <c r="G7" s="1"/>
      <c r="H7" s="1"/>
      <c r="I7" s="1"/>
      <c r="N7" s="2"/>
      <c r="Z7" s="1"/>
      <c r="AA7" s="1"/>
      <c r="AB7" s="1"/>
      <c r="AC7" s="1"/>
      <c r="AD7" s="1"/>
    </row>
    <row r="8" spans="1:30" x14ac:dyDescent="0.35">
      <c r="A8" s="1"/>
      <c r="B8" s="1"/>
      <c r="C8" s="1"/>
      <c r="D8" s="1"/>
      <c r="E8" s="1"/>
      <c r="F8" s="1"/>
      <c r="G8" s="1"/>
      <c r="H8" s="1"/>
      <c r="I8" s="1"/>
      <c r="N8" s="2"/>
      <c r="Z8" s="1"/>
      <c r="AA8" s="1"/>
      <c r="AB8" s="1"/>
      <c r="AC8" s="1"/>
      <c r="AD8" s="1"/>
    </row>
    <row r="9" spans="1:30" x14ac:dyDescent="0.35">
      <c r="A9" s="1"/>
      <c r="B9" s="5"/>
      <c r="C9" s="10" t="s">
        <v>15</v>
      </c>
      <c r="D9" s="10" t="s">
        <v>16</v>
      </c>
      <c r="E9" s="10" t="s">
        <v>17</v>
      </c>
      <c r="F9" s="10" t="s">
        <v>18</v>
      </c>
      <c r="G9" s="10" t="s">
        <v>19</v>
      </c>
      <c r="H9" s="1"/>
      <c r="I9" s="1"/>
      <c r="N9" s="2"/>
      <c r="Z9" s="1"/>
      <c r="AA9" s="1"/>
      <c r="AB9" s="1"/>
      <c r="AC9" s="1"/>
      <c r="AD9" s="1"/>
    </row>
    <row r="10" spans="1:30" x14ac:dyDescent="0.35">
      <c r="A10" s="1"/>
      <c r="B10" s="19">
        <v>35</v>
      </c>
      <c r="C10" s="7">
        <f t="shared" ref="C10:C12" si="7">(E10-D10)/F10*G10</f>
        <v>-9.9450917647058823</v>
      </c>
      <c r="D10" s="11">
        <v>0.38100000000000001</v>
      </c>
      <c r="E10" s="11">
        <v>8.2000000000000003E-2</v>
      </c>
      <c r="F10" s="11">
        <v>4.25</v>
      </c>
      <c r="G10" s="6">
        <f t="shared" ref="G10:G12" si="8">60000/10000*23.56</f>
        <v>141.35999999999999</v>
      </c>
      <c r="H10" s="1"/>
      <c r="I10" s="1"/>
      <c r="N10" s="2"/>
      <c r="Z10" s="1"/>
      <c r="AA10" s="1"/>
      <c r="AB10" s="1"/>
      <c r="AC10" s="1"/>
      <c r="AD10" s="1"/>
    </row>
    <row r="11" spans="1:30" x14ac:dyDescent="0.35">
      <c r="A11" s="1"/>
      <c r="B11" s="25"/>
      <c r="C11" s="7">
        <f t="shared" si="7"/>
        <v>-16.963199999999997</v>
      </c>
      <c r="D11" s="11">
        <v>0.36399999999999999</v>
      </c>
      <c r="E11" s="11">
        <v>7.5999999999999998E-2</v>
      </c>
      <c r="F11" s="11">
        <v>2.4</v>
      </c>
      <c r="G11" s="6">
        <f t="shared" si="8"/>
        <v>141.35999999999999</v>
      </c>
      <c r="H11" s="1"/>
      <c r="I11" s="1"/>
      <c r="N11" s="2"/>
      <c r="Z11" s="1"/>
      <c r="AA11" s="1"/>
      <c r="AB11" s="1"/>
      <c r="AC11" s="1"/>
      <c r="AD11" s="1"/>
    </row>
    <row r="12" spans="1:30" x14ac:dyDescent="0.35">
      <c r="A12" s="1"/>
      <c r="B12" s="20"/>
      <c r="C12" s="7">
        <f t="shared" si="7"/>
        <v>-20.527930434782611</v>
      </c>
      <c r="D12" s="11">
        <v>0.376</v>
      </c>
      <c r="E12" s="11">
        <v>4.2000000000000003E-2</v>
      </c>
      <c r="F12" s="11">
        <v>2.2999999999999998</v>
      </c>
      <c r="G12" s="6">
        <f t="shared" si="8"/>
        <v>141.35999999999999</v>
      </c>
      <c r="H12" s="1"/>
      <c r="I12" s="1"/>
      <c r="N12" s="2"/>
      <c r="Z12" s="1"/>
      <c r="AA12" s="1"/>
      <c r="AB12" s="1"/>
      <c r="AC12" s="1"/>
      <c r="AD12" s="1"/>
    </row>
    <row r="13" spans="1:30" x14ac:dyDescent="0.35">
      <c r="A13" s="1"/>
      <c r="B13" s="5"/>
      <c r="C13" s="7"/>
      <c r="D13" s="11"/>
      <c r="E13" s="11"/>
      <c r="F13" s="11"/>
      <c r="G13" s="11"/>
      <c r="H13" s="1"/>
      <c r="I13" s="1"/>
      <c r="N13" s="2"/>
      <c r="Z13" s="1"/>
      <c r="AA13" s="1"/>
      <c r="AB13" s="1"/>
      <c r="AC13" s="1"/>
      <c r="AD13" s="1"/>
    </row>
    <row r="14" spans="1:30" x14ac:dyDescent="0.35">
      <c r="A14" s="1"/>
      <c r="B14" s="19">
        <v>60</v>
      </c>
      <c r="C14" s="7">
        <f t="shared" ref="C14:C16" si="9">(E14-D14)/F14*G14</f>
        <v>-14.828941176470588</v>
      </c>
      <c r="D14" s="11">
        <v>0.36599999999999999</v>
      </c>
      <c r="E14" s="11">
        <v>4.4999999999999998E-2</v>
      </c>
      <c r="F14" s="11">
        <v>3.06</v>
      </c>
      <c r="G14" s="6">
        <f t="shared" ref="G14:G16" si="10">60000/10000*23.56</f>
        <v>141.35999999999999</v>
      </c>
      <c r="H14" s="1"/>
      <c r="I14" s="1"/>
      <c r="N14" s="2"/>
      <c r="Z14" s="1"/>
      <c r="AA14" s="1"/>
      <c r="AB14" s="1"/>
      <c r="AC14" s="1"/>
      <c r="AD14" s="1"/>
    </row>
    <row r="15" spans="1:30" x14ac:dyDescent="0.35">
      <c r="A15" s="1"/>
      <c r="B15" s="25"/>
      <c r="C15" s="7">
        <f t="shared" si="9"/>
        <v>-27.565199999999994</v>
      </c>
      <c r="D15" s="11">
        <v>0.35799999999999998</v>
      </c>
      <c r="E15" s="11">
        <v>8.5000000000000006E-2</v>
      </c>
      <c r="F15" s="11">
        <v>1.4</v>
      </c>
      <c r="G15" s="6">
        <f t="shared" si="10"/>
        <v>141.35999999999999</v>
      </c>
      <c r="H15" s="1"/>
      <c r="I15" s="1"/>
      <c r="N15" s="2"/>
      <c r="Z15" s="1"/>
      <c r="AA15" s="1"/>
      <c r="AB15" s="1"/>
      <c r="AC15" s="1"/>
      <c r="AD15" s="1"/>
    </row>
    <row r="16" spans="1:30" x14ac:dyDescent="0.35">
      <c r="A16" s="1"/>
      <c r="B16" s="20"/>
      <c r="C16" s="7">
        <f t="shared" si="9"/>
        <v>-32.730276923076921</v>
      </c>
      <c r="D16" s="11">
        <v>0.377</v>
      </c>
      <c r="E16" s="11">
        <v>7.5999999999999998E-2</v>
      </c>
      <c r="F16" s="11">
        <v>1.3</v>
      </c>
      <c r="G16" s="6">
        <f t="shared" si="10"/>
        <v>141.35999999999999</v>
      </c>
      <c r="H16" s="1"/>
      <c r="I16" s="1"/>
      <c r="N16" s="2"/>
      <c r="Z16" s="1"/>
      <c r="AA16" s="1"/>
      <c r="AB16" s="1"/>
      <c r="AC16" s="1"/>
      <c r="AD16" s="1"/>
    </row>
    <row r="17" spans="1:30" x14ac:dyDescent="0.35">
      <c r="A17" s="1"/>
      <c r="B17" s="5"/>
      <c r="C17" s="7"/>
      <c r="D17" s="11"/>
      <c r="E17" s="11"/>
      <c r="F17" s="11"/>
      <c r="G17" s="11"/>
      <c r="H17" s="1"/>
      <c r="I17" s="1"/>
      <c r="N17" s="2"/>
      <c r="Z17" s="1"/>
      <c r="AA17" s="1"/>
      <c r="AB17" s="1"/>
      <c r="AC17" s="1"/>
      <c r="AD17" s="1"/>
    </row>
    <row r="18" spans="1:30" x14ac:dyDescent="0.35">
      <c r="A18" s="1"/>
      <c r="B18" s="19">
        <v>85</v>
      </c>
      <c r="C18" s="7">
        <f t="shared" ref="C18:C20" si="11">(E18-D18)/F18*G18</f>
        <v>-18.594276923076922</v>
      </c>
      <c r="D18" s="11">
        <v>0.379</v>
      </c>
      <c r="E18" s="11">
        <v>3.6999999999999998E-2</v>
      </c>
      <c r="F18" s="11">
        <v>2.6</v>
      </c>
      <c r="G18" s="6">
        <f t="shared" ref="G18:G20" si="12">60000/10000*23.56</f>
        <v>141.35999999999999</v>
      </c>
      <c r="H18" s="1"/>
      <c r="I18" s="1"/>
      <c r="N18" s="2"/>
      <c r="Z18" s="1"/>
      <c r="AA18" s="1"/>
      <c r="AB18" s="1"/>
      <c r="AC18" s="1"/>
      <c r="AD18" s="1"/>
    </row>
    <row r="19" spans="1:30" x14ac:dyDescent="0.35">
      <c r="A19" s="1"/>
      <c r="B19" s="25"/>
      <c r="C19" s="7">
        <f t="shared" si="11"/>
        <v>-33.101799999999997</v>
      </c>
      <c r="D19" s="11">
        <v>0.375</v>
      </c>
      <c r="E19" s="11">
        <v>9.4E-2</v>
      </c>
      <c r="F19" s="11">
        <v>1.2</v>
      </c>
      <c r="G19" s="6">
        <f t="shared" si="12"/>
        <v>141.35999999999999</v>
      </c>
      <c r="H19" s="1"/>
      <c r="I19" s="1"/>
      <c r="N19" s="2"/>
      <c r="Z19" s="1"/>
      <c r="AA19" s="1"/>
      <c r="AB19" s="1"/>
      <c r="AC19" s="1"/>
      <c r="AD19" s="1"/>
    </row>
    <row r="20" spans="1:30" x14ac:dyDescent="0.35">
      <c r="A20" s="1"/>
      <c r="B20" s="20"/>
      <c r="C20" s="7">
        <f t="shared" si="11"/>
        <v>-37.524654545454538</v>
      </c>
      <c r="D20" s="11">
        <v>0.36599999999999999</v>
      </c>
      <c r="E20" s="11">
        <v>7.3999999999999996E-2</v>
      </c>
      <c r="F20" s="11">
        <v>1.1000000000000001</v>
      </c>
      <c r="G20" s="6">
        <f t="shared" si="12"/>
        <v>141.35999999999999</v>
      </c>
      <c r="H20" s="1"/>
      <c r="I20" s="1"/>
      <c r="N20" s="2"/>
      <c r="Z20" s="1"/>
      <c r="AA20" s="1"/>
      <c r="AB20" s="1"/>
      <c r="AC20" s="1"/>
      <c r="AD20" s="1"/>
    </row>
    <row r="21" spans="1:30" x14ac:dyDescent="0.35">
      <c r="A21" s="1"/>
      <c r="B21" s="12"/>
      <c r="C21" s="1"/>
      <c r="D21" s="1"/>
      <c r="E21" s="1"/>
      <c r="F21" s="1"/>
      <c r="G21" s="1"/>
      <c r="H21" s="1"/>
      <c r="I21" s="1"/>
      <c r="J21" s="1"/>
      <c r="K21" s="13"/>
      <c r="L21" s="12"/>
      <c r="M21" s="12"/>
      <c r="N21" s="14"/>
      <c r="O21" s="12"/>
      <c r="P21" s="12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5">
      <c r="A22" s="1"/>
      <c r="B22" s="12"/>
      <c r="C22" s="1"/>
      <c r="D22" s="1"/>
      <c r="E22" s="1"/>
      <c r="F22" s="1"/>
      <c r="G22" s="1"/>
      <c r="H22" s="1"/>
      <c r="I22" s="1"/>
      <c r="J22" s="1"/>
      <c r="K22" s="13"/>
      <c r="L22" s="12"/>
      <c r="M22" s="12"/>
      <c r="N22" s="14"/>
      <c r="O22" s="12"/>
      <c r="P22" s="12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5">
      <c r="A23" s="1"/>
      <c r="B23" s="12" t="s">
        <v>20</v>
      </c>
      <c r="C23" s="1"/>
      <c r="D23" s="1"/>
      <c r="E23" s="1"/>
      <c r="F23" s="1"/>
      <c r="G23" s="1"/>
      <c r="H23" s="1"/>
      <c r="I23" s="1"/>
      <c r="J23" s="1"/>
      <c r="K23" s="13"/>
      <c r="L23" s="12"/>
      <c r="M23" s="12"/>
      <c r="N23" s="14"/>
      <c r="O23" s="12"/>
      <c r="P23" s="1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5">
      <c r="A24" s="1"/>
      <c r="B24" s="1" t="s">
        <v>21</v>
      </c>
      <c r="C24" s="1"/>
      <c r="D24" s="1"/>
      <c r="E24" s="1"/>
      <c r="F24" s="1"/>
      <c r="G24" s="1"/>
      <c r="H24" s="1"/>
      <c r="I24" s="1"/>
      <c r="J24" s="1"/>
      <c r="K24" s="13"/>
      <c r="L24" s="12"/>
      <c r="M24" s="12"/>
      <c r="N24" s="14"/>
      <c r="O24" s="12"/>
      <c r="P24" s="1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5">
      <c r="A25" s="1"/>
      <c r="B25" s="12"/>
      <c r="C25" s="1"/>
      <c r="D25" s="1"/>
      <c r="E25" s="1"/>
      <c r="F25" s="1"/>
      <c r="G25" s="1"/>
      <c r="H25" s="1"/>
      <c r="I25" s="1"/>
      <c r="J25" s="1"/>
      <c r="K25" s="13"/>
      <c r="L25" s="12"/>
      <c r="M25" s="12"/>
      <c r="N25" s="14"/>
      <c r="O25" s="12"/>
      <c r="P25" s="12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5">
      <c r="A26" s="1"/>
      <c r="B26" s="12"/>
      <c r="C26" s="1"/>
      <c r="D26" s="1"/>
      <c r="E26" s="1"/>
      <c r="F26" s="1"/>
      <c r="G26" s="1"/>
      <c r="H26" s="1"/>
      <c r="I26" s="1"/>
      <c r="J26" s="1"/>
      <c r="K26" s="13"/>
      <c r="L26" s="12"/>
      <c r="M26" s="12"/>
      <c r="N26" s="14"/>
      <c r="O26" s="12"/>
      <c r="P26" s="12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5">
      <c r="A27" s="1"/>
      <c r="B27" s="1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5">
      <c r="A28" s="1"/>
      <c r="B28" s="1"/>
      <c r="C28" s="1">
        <v>100</v>
      </c>
      <c r="D28" s="1"/>
      <c r="E28" s="1">
        <v>125</v>
      </c>
      <c r="F28" s="1"/>
      <c r="G28" s="1">
        <v>150</v>
      </c>
      <c r="H28" s="1"/>
      <c r="I28" s="1"/>
      <c r="J28" s="1"/>
      <c r="K28" s="1"/>
      <c r="L28" s="1"/>
      <c r="M28" s="1"/>
      <c r="N28" s="1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5">
      <c r="A29" s="1"/>
      <c r="B29" s="19" t="s">
        <v>0</v>
      </c>
      <c r="C29" s="21">
        <v>100</v>
      </c>
      <c r="D29" s="22"/>
      <c r="E29" s="21">
        <v>125</v>
      </c>
      <c r="F29" s="22"/>
      <c r="G29" s="21">
        <v>150</v>
      </c>
      <c r="H29" s="22"/>
      <c r="I29" s="1"/>
      <c r="J29" s="1"/>
      <c r="K29" s="1"/>
      <c r="L29" s="1"/>
      <c r="M29" s="1"/>
      <c r="N29" s="1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5">
      <c r="A30" s="1"/>
      <c r="B30" s="20"/>
      <c r="C30" s="3" t="s">
        <v>22</v>
      </c>
      <c r="D30" s="3" t="s">
        <v>2</v>
      </c>
      <c r="E30" s="3" t="s">
        <v>22</v>
      </c>
      <c r="F30" s="3" t="s">
        <v>2</v>
      </c>
      <c r="G30" s="3" t="s">
        <v>22</v>
      </c>
      <c r="H30" s="3" t="s">
        <v>2</v>
      </c>
      <c r="I30" s="1" t="s">
        <v>3</v>
      </c>
      <c r="J30" s="1"/>
      <c r="K30" s="1" t="s">
        <v>3</v>
      </c>
      <c r="L30" s="1"/>
      <c r="M30" s="1" t="s">
        <v>3</v>
      </c>
      <c r="N30" s="15" t="s">
        <v>4</v>
      </c>
      <c r="O30" s="26" t="s">
        <v>5</v>
      </c>
      <c r="P30" s="24"/>
      <c r="Q30" s="24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5">
      <c r="A31" s="1"/>
      <c r="B31" s="5">
        <v>-0.4</v>
      </c>
      <c r="C31" s="6">
        <v>80.78</v>
      </c>
      <c r="D31" s="7">
        <f t="shared" ref="D31:D33" si="13">C37</f>
        <v>10.078950000000003</v>
      </c>
      <c r="E31" s="6">
        <v>85.15</v>
      </c>
      <c r="F31" s="7">
        <f t="shared" ref="F31:F33" si="14">C41</f>
        <v>14.15025</v>
      </c>
      <c r="G31" s="6">
        <v>90.9</v>
      </c>
      <c r="H31" s="8">
        <f t="shared" ref="H31:H33" si="15">C45</f>
        <v>18.157714285714288</v>
      </c>
      <c r="I31" s="1">
        <f t="shared" ref="I31:I33" si="16">D31/(C$28-C31)^0.5</f>
        <v>2.2989980297548884</v>
      </c>
      <c r="J31" s="1"/>
      <c r="K31" s="1">
        <f t="shared" ref="K31:K33" si="17">F31/(E$28-E31)^0.5</f>
        <v>2.2415578416366508</v>
      </c>
      <c r="L31" s="1"/>
      <c r="M31" s="1">
        <f t="shared" ref="M31:M33" si="18">H31/(G$28-G31)^0.5</f>
        <v>2.361932258684206</v>
      </c>
      <c r="N31" s="2">
        <f t="shared" ref="N31:N33" si="19">SUM(I31:M31)/3</f>
        <v>2.3008293766919152</v>
      </c>
      <c r="O31" s="1" t="s">
        <v>23</v>
      </c>
      <c r="P31" s="1" t="s">
        <v>24</v>
      </c>
      <c r="Q31" s="1" t="s">
        <v>25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5">
      <c r="A32" s="1"/>
      <c r="B32" s="5">
        <v>-0.7</v>
      </c>
      <c r="C32" s="6">
        <v>81.95</v>
      </c>
      <c r="D32" s="7">
        <f t="shared" si="13"/>
        <v>19.562100000000001</v>
      </c>
      <c r="E32" s="6">
        <v>88.1</v>
      </c>
      <c r="F32" s="7">
        <f t="shared" si="14"/>
        <v>26.612400000000004</v>
      </c>
      <c r="G32" s="6">
        <v>95.45</v>
      </c>
      <c r="H32" s="8">
        <f t="shared" si="15"/>
        <v>34.187571428571438</v>
      </c>
      <c r="I32" s="1">
        <f t="shared" si="16"/>
        <v>4.6044405665945938</v>
      </c>
      <c r="J32" s="1"/>
      <c r="K32" s="1">
        <f t="shared" si="17"/>
        <v>4.3809758529795904</v>
      </c>
      <c r="L32" s="1"/>
      <c r="M32" s="1">
        <f t="shared" si="18"/>
        <v>4.6288261903758023</v>
      </c>
      <c r="N32" s="2">
        <f t="shared" si="19"/>
        <v>4.5380808699833288</v>
      </c>
      <c r="O32" s="1" t="s">
        <v>26</v>
      </c>
      <c r="P32" s="1" t="s">
        <v>27</v>
      </c>
      <c r="Q32" s="1" t="s">
        <v>28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5">
      <c r="A33" s="1"/>
      <c r="B33" s="5">
        <v>-1</v>
      </c>
      <c r="C33" s="6">
        <v>83.5</v>
      </c>
      <c r="D33" s="7">
        <f t="shared" si="13"/>
        <v>24.924300000000002</v>
      </c>
      <c r="E33" s="6">
        <v>91.4</v>
      </c>
      <c r="F33" s="7">
        <f t="shared" si="14"/>
        <v>34.556400000000004</v>
      </c>
      <c r="G33" s="6">
        <v>92.8</v>
      </c>
      <c r="H33" s="8">
        <f t="shared" si="15"/>
        <v>37.285548387096775</v>
      </c>
      <c r="I33" s="1">
        <f t="shared" si="16"/>
        <v>6.1359384972323658</v>
      </c>
      <c r="J33" s="1"/>
      <c r="K33" s="1">
        <f t="shared" si="17"/>
        <v>5.9615453737145332</v>
      </c>
      <c r="L33" s="1"/>
      <c r="M33" s="1">
        <f t="shared" si="18"/>
        <v>4.9299500673483303</v>
      </c>
      <c r="N33" s="2">
        <f t="shared" si="19"/>
        <v>5.6758113127650764</v>
      </c>
      <c r="O33" s="1" t="s">
        <v>29</v>
      </c>
      <c r="P33" s="1" t="s">
        <v>30</v>
      </c>
      <c r="Q33" s="1" t="s">
        <v>31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5">
      <c r="A36" s="1"/>
      <c r="B36" s="5"/>
      <c r="C36" s="10" t="s">
        <v>15</v>
      </c>
      <c r="D36" s="10" t="s">
        <v>16</v>
      </c>
      <c r="E36" s="10" t="s">
        <v>17</v>
      </c>
      <c r="F36" s="10" t="s">
        <v>18</v>
      </c>
      <c r="G36" s="10" t="s">
        <v>19</v>
      </c>
      <c r="H36" s="1"/>
      <c r="I36" s="1"/>
      <c r="J36" s="1"/>
      <c r="K36" s="1"/>
      <c r="L36" s="1"/>
      <c r="M36" s="1"/>
      <c r="N36" s="1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5">
      <c r="A37" s="1"/>
      <c r="B37" s="19">
        <v>100</v>
      </c>
      <c r="C37" s="7">
        <f t="shared" ref="C37:C39" si="20">(E37-D37)/F37*G37</f>
        <v>10.078950000000003</v>
      </c>
      <c r="D37" s="11">
        <v>0.122</v>
      </c>
      <c r="E37" s="11">
        <v>0.32500000000000001</v>
      </c>
      <c r="F37" s="11">
        <v>4</v>
      </c>
      <c r="G37" s="11">
        <f t="shared" ref="G37:G39" si="21">60000/10000*33.1</f>
        <v>198.60000000000002</v>
      </c>
      <c r="H37" s="1"/>
      <c r="I37" s="1"/>
      <c r="J37" s="1"/>
      <c r="K37" s="1"/>
      <c r="L37" s="1"/>
      <c r="M37" s="1"/>
      <c r="N37" s="1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5">
      <c r="A38" s="1"/>
      <c r="B38" s="25"/>
      <c r="C38" s="7">
        <f t="shared" si="20"/>
        <v>19.562100000000001</v>
      </c>
      <c r="D38" s="11">
        <v>0.14699999999999999</v>
      </c>
      <c r="E38" s="11">
        <v>0.34399999999999997</v>
      </c>
      <c r="F38" s="11">
        <v>2</v>
      </c>
      <c r="G38" s="11">
        <f t="shared" si="21"/>
        <v>198.60000000000002</v>
      </c>
      <c r="H38" s="1"/>
      <c r="I38" s="1"/>
      <c r="J38" s="1"/>
      <c r="K38" s="1"/>
      <c r="L38" s="1"/>
      <c r="M38" s="1"/>
      <c r="N38" s="1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5">
      <c r="A39" s="1"/>
      <c r="B39" s="20"/>
      <c r="C39" s="7">
        <f t="shared" si="20"/>
        <v>24.924300000000002</v>
      </c>
      <c r="D39" s="11">
        <v>0.13500000000000001</v>
      </c>
      <c r="E39" s="11">
        <v>0.38600000000000001</v>
      </c>
      <c r="F39" s="11">
        <v>2</v>
      </c>
      <c r="G39" s="11">
        <f t="shared" si="21"/>
        <v>198.60000000000002</v>
      </c>
      <c r="H39" s="1"/>
      <c r="I39" s="1"/>
      <c r="J39" s="1"/>
      <c r="K39" s="1"/>
      <c r="L39" s="1"/>
      <c r="M39" s="1"/>
      <c r="N39" s="1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5">
      <c r="A40" s="1"/>
      <c r="B40" s="5"/>
      <c r="C40" s="7"/>
      <c r="D40" s="11"/>
      <c r="E40" s="11"/>
      <c r="F40" s="11"/>
      <c r="G40" s="11"/>
      <c r="H40" s="1"/>
      <c r="I40" s="1"/>
      <c r="J40" s="1"/>
      <c r="K40" s="1"/>
      <c r="L40" s="1"/>
      <c r="M40" s="1"/>
      <c r="N40" s="1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5">
      <c r="A41" s="1"/>
      <c r="B41" s="19">
        <v>125</v>
      </c>
      <c r="C41" s="7">
        <f t="shared" ref="C41:C43" si="22">(E41-D41)/F41*G41</f>
        <v>14.15025</v>
      </c>
      <c r="D41" s="11">
        <v>8.1000000000000003E-2</v>
      </c>
      <c r="E41" s="11">
        <v>0.36599999999999999</v>
      </c>
      <c r="F41" s="11">
        <v>4</v>
      </c>
      <c r="G41" s="11">
        <f t="shared" ref="G41:G43" si="23">60000/10000*33.1</f>
        <v>198.60000000000002</v>
      </c>
      <c r="H41" s="1"/>
      <c r="I41" s="1"/>
      <c r="J41" s="1"/>
      <c r="K41" s="1"/>
      <c r="L41" s="1"/>
      <c r="M41" s="1"/>
      <c r="N41" s="1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5">
      <c r="A42" s="1"/>
      <c r="B42" s="25"/>
      <c r="C42" s="7">
        <f t="shared" si="22"/>
        <v>26.612400000000004</v>
      </c>
      <c r="D42" s="11">
        <v>5.3999999999999999E-2</v>
      </c>
      <c r="E42" s="11">
        <v>0.32200000000000001</v>
      </c>
      <c r="F42" s="11">
        <v>2</v>
      </c>
      <c r="G42" s="11">
        <f t="shared" si="23"/>
        <v>198.60000000000002</v>
      </c>
      <c r="H42" s="1"/>
      <c r="I42" s="1"/>
      <c r="J42" s="1"/>
      <c r="K42" s="1"/>
      <c r="L42" s="1"/>
      <c r="M42" s="1"/>
      <c r="N42" s="1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5">
      <c r="A43" s="1"/>
      <c r="B43" s="20"/>
      <c r="C43" s="7">
        <f t="shared" si="22"/>
        <v>34.556400000000004</v>
      </c>
      <c r="D43" s="11">
        <v>0.10199999999999999</v>
      </c>
      <c r="E43" s="11">
        <v>0.36299999999999999</v>
      </c>
      <c r="F43" s="11">
        <v>1.5</v>
      </c>
      <c r="G43" s="11">
        <f t="shared" si="23"/>
        <v>198.60000000000002</v>
      </c>
      <c r="H43" s="1"/>
      <c r="I43" s="1"/>
      <c r="J43" s="1"/>
      <c r="K43" s="1"/>
      <c r="L43" s="1"/>
      <c r="M43" s="1"/>
      <c r="N43" s="1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5">
      <c r="A44" s="1"/>
      <c r="B44" s="5"/>
      <c r="C44" s="7"/>
      <c r="D44" s="11"/>
      <c r="E44" s="11"/>
      <c r="F44" s="11"/>
      <c r="G44" s="11"/>
      <c r="H44" s="1"/>
      <c r="I44" s="1"/>
      <c r="J44" s="1"/>
      <c r="K44" s="1"/>
      <c r="L44" s="1"/>
      <c r="M44" s="1"/>
      <c r="N44" s="1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5">
      <c r="A45" s="1"/>
      <c r="B45" s="19">
        <v>150</v>
      </c>
      <c r="C45" s="7">
        <f t="shared" ref="C45:C47" si="24">(E45-D45)/F45*G45</f>
        <v>18.157714285714288</v>
      </c>
      <c r="D45" s="11">
        <v>5.7000000000000002E-2</v>
      </c>
      <c r="E45" s="11">
        <v>0.377</v>
      </c>
      <c r="F45" s="11">
        <v>3.5</v>
      </c>
      <c r="G45" s="11">
        <f t="shared" ref="G45:G47" si="25">60000/10000*33.1</f>
        <v>198.60000000000002</v>
      </c>
      <c r="H45" s="1"/>
      <c r="I45" s="1"/>
      <c r="J45" s="1"/>
      <c r="K45" s="1"/>
      <c r="L45" s="1"/>
      <c r="M45" s="1"/>
      <c r="N45" s="1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5">
      <c r="A46" s="1"/>
      <c r="B46" s="25"/>
      <c r="C46" s="7">
        <f t="shared" si="24"/>
        <v>34.187571428571438</v>
      </c>
      <c r="D46" s="11">
        <v>9.7000000000000003E-2</v>
      </c>
      <c r="E46" s="11">
        <v>0.33800000000000002</v>
      </c>
      <c r="F46" s="11">
        <v>1.4</v>
      </c>
      <c r="G46" s="11">
        <f t="shared" si="25"/>
        <v>198.60000000000002</v>
      </c>
      <c r="H46" s="1"/>
      <c r="I46" s="1"/>
      <c r="J46" s="1"/>
      <c r="K46" s="1"/>
      <c r="L46" s="1"/>
      <c r="M46" s="1"/>
      <c r="N46" s="1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5">
      <c r="A47" s="1"/>
      <c r="B47" s="20"/>
      <c r="C47" s="7">
        <f t="shared" si="24"/>
        <v>37.285548387096775</v>
      </c>
      <c r="D47" s="11">
        <v>6.2E-2</v>
      </c>
      <c r="E47" s="11">
        <v>0.35299999999999998</v>
      </c>
      <c r="F47" s="11">
        <v>1.55</v>
      </c>
      <c r="G47" s="11">
        <f t="shared" si="25"/>
        <v>198.60000000000002</v>
      </c>
      <c r="H47" s="1"/>
      <c r="I47" s="1"/>
      <c r="J47" s="1"/>
      <c r="K47" s="1"/>
      <c r="L47" s="1"/>
      <c r="M47" s="1"/>
      <c r="N47" s="1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5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5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5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16">
    <mergeCell ref="C29:D29"/>
    <mergeCell ref="E29:F29"/>
    <mergeCell ref="G29:H29"/>
    <mergeCell ref="O30:Q30"/>
    <mergeCell ref="B37:B39"/>
    <mergeCell ref="B10:B12"/>
    <mergeCell ref="B14:B16"/>
    <mergeCell ref="B41:B43"/>
    <mergeCell ref="B45:B47"/>
    <mergeCell ref="B18:B20"/>
    <mergeCell ref="B29:B30"/>
    <mergeCell ref="B2:B3"/>
    <mergeCell ref="C2:D2"/>
    <mergeCell ref="E2:F2"/>
    <mergeCell ref="G2:H2"/>
    <mergeCell ref="O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1059"/>
  <sheetViews>
    <sheetView tabSelected="1" topLeftCell="A10" zoomScale="70" zoomScaleNormal="70" workbookViewId="0">
      <selection activeCell="N15" sqref="N15"/>
    </sheetView>
  </sheetViews>
  <sheetFormatPr defaultColWidth="12.59765625" defaultRowHeight="15.75" customHeight="1" x14ac:dyDescent="0.35"/>
  <cols>
    <col min="11" max="11" width="13.73046875" customWidth="1"/>
    <col min="13" max="13" width="13.73046875" customWidth="1"/>
    <col min="16" max="16" width="13.73046875" customWidth="1"/>
  </cols>
  <sheetData>
    <row r="1" spans="1:38" x14ac:dyDescent="0.35">
      <c r="A1" s="1"/>
      <c r="B1" s="1"/>
      <c r="C1" s="1"/>
      <c r="D1" s="1"/>
      <c r="E1" s="1"/>
      <c r="F1" s="1"/>
      <c r="G1" s="1"/>
      <c r="H1" s="1"/>
      <c r="I1" s="1"/>
      <c r="N1" s="2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35">
      <c r="A2" s="1"/>
      <c r="B2" s="19" t="s">
        <v>0</v>
      </c>
      <c r="C2" s="21">
        <v>35</v>
      </c>
      <c r="D2" s="22"/>
      <c r="E2" s="21">
        <v>50</v>
      </c>
      <c r="F2" s="22"/>
      <c r="G2" s="21">
        <v>60</v>
      </c>
      <c r="H2" s="22"/>
      <c r="I2" s="21">
        <v>70</v>
      </c>
      <c r="J2" s="22"/>
      <c r="K2" s="21">
        <v>85</v>
      </c>
      <c r="L2" s="22"/>
      <c r="M2" s="1"/>
      <c r="N2" s="1"/>
      <c r="O2" s="1"/>
      <c r="P2" s="1"/>
      <c r="Q2" s="1"/>
      <c r="R2" s="2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35">
      <c r="A3" s="1"/>
      <c r="B3" s="20"/>
      <c r="C3" s="3" t="s">
        <v>1</v>
      </c>
      <c r="D3" s="3" t="s">
        <v>2</v>
      </c>
      <c r="E3" s="3" t="s">
        <v>1</v>
      </c>
      <c r="F3" s="3" t="s">
        <v>2</v>
      </c>
      <c r="G3" s="3" t="s">
        <v>1</v>
      </c>
      <c r="H3" s="3" t="s">
        <v>2</v>
      </c>
      <c r="I3" s="3" t="s">
        <v>1</v>
      </c>
      <c r="J3" s="3" t="s">
        <v>2</v>
      </c>
      <c r="K3" s="3" t="s">
        <v>1</v>
      </c>
      <c r="L3" s="3" t="s">
        <v>2</v>
      </c>
      <c r="M3" s="1" t="s">
        <v>3</v>
      </c>
      <c r="N3" s="1"/>
      <c r="O3" s="1" t="s">
        <v>3</v>
      </c>
      <c r="P3" s="1"/>
      <c r="Q3" s="1" t="s">
        <v>3</v>
      </c>
      <c r="R3" s="4" t="s">
        <v>4</v>
      </c>
      <c r="S3" s="23" t="s">
        <v>5</v>
      </c>
      <c r="T3" s="24"/>
      <c r="U3" s="24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35">
      <c r="A4" s="1"/>
      <c r="B4" s="5">
        <v>0.2</v>
      </c>
      <c r="C4" s="6">
        <v>12.05</v>
      </c>
      <c r="D4" s="7">
        <f t="shared" ref="D4:D9" si="0">D13</f>
        <v>-3.5534532110091743</v>
      </c>
      <c r="E4" s="6">
        <v>12.55</v>
      </c>
      <c r="F4" s="8">
        <f t="shared" ref="F4:F9" si="1">D20</f>
        <v>-4.4739711340206183</v>
      </c>
      <c r="G4" s="6">
        <v>12.9</v>
      </c>
      <c r="H4" s="7">
        <f t="shared" ref="H4:H9" si="2">D27</f>
        <v>-5.1831999999999985</v>
      </c>
      <c r="I4" s="6">
        <v>14.2</v>
      </c>
      <c r="J4" s="8">
        <f t="shared" ref="J4:J9" si="3">D34</f>
        <v>-5.6167039999999986</v>
      </c>
      <c r="K4" s="6">
        <v>18.45</v>
      </c>
      <c r="L4" s="8">
        <f t="shared" ref="L4:L9" si="4">D41</f>
        <v>-6.186195777351247</v>
      </c>
      <c r="M4" s="1">
        <f t="shared" ref="M4:M9" si="5">D4/(C$2-C4)^0.5</f>
        <v>-0.74175290598948951</v>
      </c>
      <c r="N4" s="1">
        <f t="shared" ref="N4:N9" si="6">F4/(E$2-E4)^0.5</f>
        <v>-0.73108397871008068</v>
      </c>
      <c r="O4" s="1">
        <f t="shared" ref="O4:O9" si="7">H4/(G$2-G4)^0.5</f>
        <v>-0.7552443993569794</v>
      </c>
      <c r="P4" s="1">
        <f t="shared" ref="P4:P9" si="8">J4/(I$2-I4)^0.5</f>
        <v>-0.75190753625399664</v>
      </c>
      <c r="Q4" s="1">
        <f t="shared" ref="Q4:Q9" si="9">L4/(K$2-K4)^0.5</f>
        <v>-0.75831497132016357</v>
      </c>
      <c r="R4" s="2">
        <f t="shared" ref="R4:R9" si="10">SUM(M4:Q4)/5</f>
        <v>-0.74766075832614187</v>
      </c>
      <c r="S4" s="9"/>
      <c r="T4" s="9"/>
      <c r="U4" s="9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35">
      <c r="A5" s="1"/>
      <c r="B5" s="5">
        <v>0.4</v>
      </c>
      <c r="C5" s="6">
        <v>12.3</v>
      </c>
      <c r="D5" s="7">
        <f t="shared" si="0"/>
        <v>-9.9450917647058823</v>
      </c>
      <c r="E5" s="6">
        <v>14.95</v>
      </c>
      <c r="F5" s="8">
        <f t="shared" si="1"/>
        <v>-12.140329411764704</v>
      </c>
      <c r="G5" s="6">
        <v>13</v>
      </c>
      <c r="H5" s="7">
        <f t="shared" si="2"/>
        <v>-14.828941176470588</v>
      </c>
      <c r="I5" s="6">
        <v>19.149999999999999</v>
      </c>
      <c r="J5" s="8">
        <f t="shared" si="3"/>
        <v>-15.421090909090905</v>
      </c>
      <c r="K5" s="6">
        <v>23.3</v>
      </c>
      <c r="L5" s="8">
        <f t="shared" si="4"/>
        <v>-18.594276923076922</v>
      </c>
      <c r="M5" s="1">
        <f t="shared" si="5"/>
        <v>-2.0873528353878736</v>
      </c>
      <c r="N5" s="1">
        <f t="shared" si="6"/>
        <v>-2.0506260011193502</v>
      </c>
      <c r="O5" s="1">
        <f t="shared" si="7"/>
        <v>-2.1630233786286608</v>
      </c>
      <c r="P5" s="1">
        <f t="shared" si="8"/>
        <v>-2.1625672351939578</v>
      </c>
      <c r="Q5" s="1">
        <f t="shared" si="9"/>
        <v>-2.3672095954763388</v>
      </c>
      <c r="R5" s="2">
        <f t="shared" si="10"/>
        <v>-2.1661558091612365</v>
      </c>
      <c r="S5" s="9" t="s">
        <v>6</v>
      </c>
      <c r="T5" s="9" t="s">
        <v>7</v>
      </c>
      <c r="U5" s="9" t="s">
        <v>8</v>
      </c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35">
      <c r="A6" s="1"/>
      <c r="B6" s="5">
        <v>0.6</v>
      </c>
      <c r="C6" s="6">
        <v>15.65</v>
      </c>
      <c r="D6" s="7">
        <f t="shared" si="0"/>
        <v>-14.074805194805192</v>
      </c>
      <c r="E6" s="6">
        <v>16.850000000000001</v>
      </c>
      <c r="F6" s="8">
        <f t="shared" si="1"/>
        <v>-18.671299999999999</v>
      </c>
      <c r="G6" s="6">
        <v>19.399999999999999</v>
      </c>
      <c r="H6" s="7">
        <f t="shared" si="2"/>
        <v>-22.174117647058821</v>
      </c>
      <c r="I6" s="6">
        <v>21.6</v>
      </c>
      <c r="J6" s="8">
        <f t="shared" si="3"/>
        <v>-23.271510204081629</v>
      </c>
      <c r="K6" s="6">
        <v>29.75</v>
      </c>
      <c r="L6" s="8">
        <f t="shared" si="4"/>
        <v>-27.329599999999992</v>
      </c>
      <c r="M6" s="1">
        <f t="shared" si="5"/>
        <v>-3.1996458240022516</v>
      </c>
      <c r="N6" s="1">
        <f t="shared" si="6"/>
        <v>-3.2428942796364706</v>
      </c>
      <c r="O6" s="1">
        <f t="shared" si="7"/>
        <v>-3.4800327465250716</v>
      </c>
      <c r="P6" s="1">
        <f t="shared" si="8"/>
        <v>-3.3450444016703553</v>
      </c>
      <c r="Q6" s="1">
        <f t="shared" si="9"/>
        <v>-3.6767756781603231</v>
      </c>
      <c r="R6" s="2">
        <f t="shared" si="10"/>
        <v>-3.3888785859988944</v>
      </c>
      <c r="S6" s="9"/>
      <c r="T6" s="9"/>
      <c r="U6" s="9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35">
      <c r="A7" s="1"/>
      <c r="B7" s="5">
        <v>0.7</v>
      </c>
      <c r="C7" s="6">
        <v>13.15</v>
      </c>
      <c r="D7" s="7">
        <f t="shared" si="0"/>
        <v>-16.963199999999997</v>
      </c>
      <c r="E7" s="6">
        <v>18.850000000000001</v>
      </c>
      <c r="F7" s="8">
        <f t="shared" si="1"/>
        <v>-22.282169491525423</v>
      </c>
      <c r="G7" s="6">
        <v>14.85</v>
      </c>
      <c r="H7" s="7">
        <f t="shared" si="2"/>
        <v>-27.565199999999994</v>
      </c>
      <c r="I7" s="6">
        <v>23.85</v>
      </c>
      <c r="J7" s="8">
        <f t="shared" si="3"/>
        <v>-27.547076923076922</v>
      </c>
      <c r="K7" s="6">
        <v>21.3</v>
      </c>
      <c r="L7" s="8">
        <f t="shared" si="4"/>
        <v>-33.101799999999997</v>
      </c>
      <c r="M7" s="1">
        <f t="shared" si="5"/>
        <v>-3.6289590027276768</v>
      </c>
      <c r="N7" s="1">
        <f t="shared" si="6"/>
        <v>-3.9923485295839929</v>
      </c>
      <c r="O7" s="1">
        <f t="shared" si="7"/>
        <v>-4.1023458460412083</v>
      </c>
      <c r="P7" s="1">
        <f t="shared" si="8"/>
        <v>-4.0549888939065761</v>
      </c>
      <c r="Q7" s="1">
        <f t="shared" si="9"/>
        <v>-4.1474570204996306</v>
      </c>
      <c r="R7" s="2">
        <f t="shared" si="10"/>
        <v>-3.9852198585518166</v>
      </c>
      <c r="S7" s="9" t="s">
        <v>9</v>
      </c>
      <c r="T7" s="9" t="s">
        <v>10</v>
      </c>
      <c r="U7" s="9" t="s">
        <v>11</v>
      </c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35">
      <c r="A8" s="1"/>
      <c r="B8" s="5">
        <v>0.8</v>
      </c>
      <c r="C8" s="6">
        <v>16.399999999999999</v>
      </c>
      <c r="D8" s="7">
        <f t="shared" si="0"/>
        <v>-17.88204</v>
      </c>
      <c r="E8" s="6">
        <v>19.05</v>
      </c>
      <c r="F8" s="8">
        <f t="shared" si="1"/>
        <v>-23.787475862068963</v>
      </c>
      <c r="G8" s="6">
        <v>22.1</v>
      </c>
      <c r="H8" s="7">
        <f t="shared" si="2"/>
        <v>-29.040260869565209</v>
      </c>
      <c r="I8" s="6">
        <v>25.55</v>
      </c>
      <c r="J8" s="8">
        <f t="shared" si="3"/>
        <v>-31.040907216494837</v>
      </c>
      <c r="K8" s="6">
        <v>32.6</v>
      </c>
      <c r="L8" s="8">
        <f t="shared" si="4"/>
        <v>-35.922070588235286</v>
      </c>
      <c r="M8" s="1">
        <f t="shared" si="5"/>
        <v>-4.1462987417695789</v>
      </c>
      <c r="N8" s="1">
        <f t="shared" si="6"/>
        <v>-4.2758064091748054</v>
      </c>
      <c r="O8" s="1">
        <f t="shared" si="7"/>
        <v>-4.7171632708450986</v>
      </c>
      <c r="P8" s="1">
        <f t="shared" si="8"/>
        <v>-4.6558451012482767</v>
      </c>
      <c r="Q8" s="1">
        <f t="shared" si="9"/>
        <v>-4.9624451375554068</v>
      </c>
      <c r="R8" s="2">
        <f t="shared" si="10"/>
        <v>-4.5515117321186329</v>
      </c>
      <c r="S8" s="9"/>
      <c r="T8" s="9"/>
      <c r="U8" s="9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35">
      <c r="A9" s="1"/>
      <c r="B9" s="5">
        <v>1</v>
      </c>
      <c r="C9" s="6">
        <v>13.25</v>
      </c>
      <c r="D9" s="7">
        <f t="shared" si="0"/>
        <v>-20.527930434782611</v>
      </c>
      <c r="E9" s="6">
        <v>19.95</v>
      </c>
      <c r="F9" s="8">
        <f t="shared" si="1"/>
        <v>-26.743783783783783</v>
      </c>
      <c r="G9" s="6">
        <v>14.6</v>
      </c>
      <c r="H9" s="7">
        <f t="shared" si="2"/>
        <v>-32.730276923076921</v>
      </c>
      <c r="I9" s="6">
        <v>27</v>
      </c>
      <c r="J9" s="8">
        <f t="shared" si="3"/>
        <v>-35.003428571428564</v>
      </c>
      <c r="K9" s="6">
        <v>22.4</v>
      </c>
      <c r="L9" s="8">
        <f t="shared" si="4"/>
        <v>-37.524654545454538</v>
      </c>
      <c r="M9" s="1">
        <f t="shared" si="5"/>
        <v>-4.4016503066817396</v>
      </c>
      <c r="N9" s="1">
        <f t="shared" si="6"/>
        <v>-4.8786606924652522</v>
      </c>
      <c r="O9" s="1">
        <f t="shared" si="7"/>
        <v>-4.857600038899264</v>
      </c>
      <c r="P9" s="1">
        <f t="shared" si="8"/>
        <v>-5.3379728138823026</v>
      </c>
      <c r="Q9" s="1">
        <f t="shared" si="9"/>
        <v>-4.7427423935348774</v>
      </c>
      <c r="R9" s="2">
        <f t="shared" si="10"/>
        <v>-4.843725249092687</v>
      </c>
      <c r="S9" s="9" t="s">
        <v>12</v>
      </c>
      <c r="T9" s="9" t="s">
        <v>13</v>
      </c>
      <c r="U9" s="9" t="s">
        <v>14</v>
      </c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35">
      <c r="A10" s="1"/>
      <c r="B10" s="1"/>
      <c r="C10" s="1"/>
      <c r="D10" s="1"/>
      <c r="E10" s="1"/>
      <c r="F10" s="1"/>
      <c r="G10" s="1"/>
      <c r="H10" s="1"/>
      <c r="I10" s="1"/>
      <c r="N10" s="2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35">
      <c r="A11" s="1"/>
      <c r="B11" s="1"/>
      <c r="C11" s="1"/>
      <c r="D11" s="1"/>
      <c r="E11" s="1"/>
      <c r="F11" s="1"/>
      <c r="G11" s="1"/>
      <c r="H11" s="1"/>
      <c r="I11" s="1"/>
      <c r="N11" s="2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35">
      <c r="A12" s="1"/>
      <c r="B12" s="5"/>
      <c r="C12" s="10" t="s">
        <v>32</v>
      </c>
      <c r="D12" s="10" t="s">
        <v>15</v>
      </c>
      <c r="E12" s="10" t="s">
        <v>16</v>
      </c>
      <c r="F12" s="10" t="s">
        <v>17</v>
      </c>
      <c r="G12" s="10" t="s">
        <v>18</v>
      </c>
      <c r="H12" s="10" t="s">
        <v>19</v>
      </c>
      <c r="I12" s="1"/>
      <c r="J12" s="1"/>
      <c r="O12" s="2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35">
      <c r="A13" s="1"/>
      <c r="B13" s="19">
        <v>35</v>
      </c>
      <c r="C13" s="16">
        <v>0.2</v>
      </c>
      <c r="D13" s="7">
        <f t="shared" ref="D13:D18" si="11">(F13-E13)/G13*H13</f>
        <v>-3.5534532110091743</v>
      </c>
      <c r="E13" s="11">
        <v>0.36799999999999999</v>
      </c>
      <c r="F13" s="11">
        <v>9.4E-2</v>
      </c>
      <c r="G13" s="11">
        <v>10.9</v>
      </c>
      <c r="H13" s="6">
        <f t="shared" ref="H13:H18" si="12">60000/10000*23.56</f>
        <v>141.35999999999999</v>
      </c>
      <c r="I13" s="1"/>
      <c r="J13" s="1"/>
      <c r="O13" s="2"/>
      <c r="R13" s="23" t="s">
        <v>33</v>
      </c>
      <c r="S13" s="24"/>
      <c r="U13" s="23" t="s">
        <v>34</v>
      </c>
      <c r="V13" s="24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35">
      <c r="A14" s="1"/>
      <c r="B14" s="25"/>
      <c r="C14" s="16">
        <v>0.4</v>
      </c>
      <c r="D14" s="7">
        <f t="shared" si="11"/>
        <v>-9.9450917647058823</v>
      </c>
      <c r="E14" s="11">
        <v>0.38100000000000001</v>
      </c>
      <c r="F14" s="11">
        <v>8.2000000000000003E-2</v>
      </c>
      <c r="G14" s="11">
        <v>4.25</v>
      </c>
      <c r="H14" s="6">
        <f t="shared" si="12"/>
        <v>141.35999999999999</v>
      </c>
      <c r="I14" s="1"/>
      <c r="J14" s="1"/>
      <c r="O14" s="2"/>
      <c r="R14" s="9">
        <v>-1</v>
      </c>
      <c r="S14" s="2">
        <f>R60</f>
        <v>5.7136451265196415</v>
      </c>
      <c r="U14" s="9">
        <v>-1</v>
      </c>
      <c r="V14" s="9">
        <v>5.68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35">
      <c r="A15" s="1"/>
      <c r="B15" s="25"/>
      <c r="C15" s="16">
        <v>0.6</v>
      </c>
      <c r="D15" s="7">
        <f t="shared" si="11"/>
        <v>-14.074805194805192</v>
      </c>
      <c r="E15" s="11">
        <v>0.36599999999999999</v>
      </c>
      <c r="F15" s="11">
        <v>0.13600000000000001</v>
      </c>
      <c r="G15" s="11">
        <v>2.31</v>
      </c>
      <c r="H15" s="6">
        <f t="shared" si="12"/>
        <v>141.35999999999999</v>
      </c>
      <c r="I15" s="1"/>
      <c r="J15" s="1"/>
      <c r="O15" s="2"/>
      <c r="R15" s="9">
        <v>-0.8</v>
      </c>
      <c r="S15" s="2">
        <f>R59</f>
        <v>5.08653304633056</v>
      </c>
      <c r="U15" s="9">
        <v>-0.8</v>
      </c>
      <c r="V15" s="9">
        <v>4.9400000000000004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35">
      <c r="A16" s="1"/>
      <c r="B16" s="25"/>
      <c r="C16" s="16">
        <v>0.7</v>
      </c>
      <c r="D16" s="7">
        <f t="shared" si="11"/>
        <v>-16.963199999999997</v>
      </c>
      <c r="E16" s="11">
        <v>0.36399999999999999</v>
      </c>
      <c r="F16" s="11">
        <v>7.5999999999999998E-2</v>
      </c>
      <c r="G16" s="11">
        <v>2.4</v>
      </c>
      <c r="H16" s="6">
        <f t="shared" si="12"/>
        <v>141.35999999999999</v>
      </c>
      <c r="I16" s="1"/>
      <c r="J16" s="1"/>
      <c r="L16" s="9">
        <v>20.100000000000001</v>
      </c>
      <c r="O16" s="2"/>
      <c r="R16" s="9">
        <v>-0.7</v>
      </c>
      <c r="S16" s="2">
        <f>R58</f>
        <v>4.5881867191512926</v>
      </c>
      <c r="U16" s="9">
        <v>-0.7</v>
      </c>
      <c r="V16" s="9">
        <v>4.54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35">
      <c r="A17" s="1"/>
      <c r="B17" s="25"/>
      <c r="C17" s="16">
        <v>0.8</v>
      </c>
      <c r="D17" s="7">
        <f t="shared" si="11"/>
        <v>-17.88204</v>
      </c>
      <c r="E17" s="11">
        <v>0.371</v>
      </c>
      <c r="F17" s="11">
        <v>0.11799999999999999</v>
      </c>
      <c r="G17" s="11">
        <v>2</v>
      </c>
      <c r="H17" s="6">
        <f t="shared" si="12"/>
        <v>141.35999999999999</v>
      </c>
      <c r="I17" s="1"/>
      <c r="J17" s="1"/>
      <c r="L17" s="9">
        <v>19.8</v>
      </c>
      <c r="O17" s="2"/>
      <c r="R17" s="9">
        <v>-0.6</v>
      </c>
      <c r="S17" s="2">
        <f>R57</f>
        <v>3.4164220181796621</v>
      </c>
      <c r="U17" s="9">
        <v>-0.6</v>
      </c>
      <c r="V17" s="9">
        <v>3.27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35">
      <c r="A18" s="1"/>
      <c r="B18" s="20"/>
      <c r="C18" s="16">
        <v>1</v>
      </c>
      <c r="D18" s="7">
        <f t="shared" si="11"/>
        <v>-20.527930434782611</v>
      </c>
      <c r="E18" s="11">
        <v>0.376</v>
      </c>
      <c r="F18" s="11">
        <v>4.2000000000000003E-2</v>
      </c>
      <c r="G18" s="11">
        <v>2.2999999999999998</v>
      </c>
      <c r="H18" s="6">
        <f t="shared" si="12"/>
        <v>141.35999999999999</v>
      </c>
      <c r="I18" s="28"/>
      <c r="J18" s="28"/>
      <c r="K18" s="29"/>
      <c r="L18" s="29"/>
      <c r="M18" s="29"/>
      <c r="N18" s="29"/>
      <c r="O18" s="30"/>
      <c r="P18" s="29"/>
      <c r="Q18" s="29"/>
      <c r="R18" s="9">
        <v>-0.4</v>
      </c>
      <c r="S18" s="2">
        <f>R56</f>
        <v>2.2908096692330036</v>
      </c>
      <c r="U18" s="9">
        <v>-0.4</v>
      </c>
      <c r="V18" s="9">
        <v>2.2999999999999998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35">
      <c r="A19" s="1"/>
      <c r="B19" s="5"/>
      <c r="C19" s="7"/>
      <c r="D19" s="7"/>
      <c r="E19" s="11"/>
      <c r="F19" s="11"/>
      <c r="G19" s="11"/>
      <c r="H19" s="6"/>
      <c r="I19" s="28"/>
      <c r="J19" s="28"/>
      <c r="K19" s="29"/>
      <c r="L19" s="31">
        <f>(L16+L17)/2</f>
        <v>19.950000000000003</v>
      </c>
      <c r="M19" s="29"/>
      <c r="N19" s="29"/>
      <c r="O19" s="30"/>
      <c r="P19" s="29"/>
      <c r="Q19" s="29"/>
      <c r="R19" s="9">
        <v>-0.2</v>
      </c>
      <c r="S19" s="2">
        <f>R55</f>
        <v>0.77918277397566682</v>
      </c>
      <c r="U19" s="9">
        <v>-0.2</v>
      </c>
      <c r="V19" s="9">
        <v>0.78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35">
      <c r="A20" s="1"/>
      <c r="B20" s="19">
        <v>50</v>
      </c>
      <c r="C20" s="16">
        <v>0.2</v>
      </c>
      <c r="D20" s="7">
        <f t="shared" ref="D20:D25" si="13">(F20-E20)/G20*H20</f>
        <v>-4.4739711340206183</v>
      </c>
      <c r="E20" s="11">
        <v>0.36699999999999999</v>
      </c>
      <c r="F20" s="11">
        <v>0.06</v>
      </c>
      <c r="G20" s="11">
        <v>9.6999999999999993</v>
      </c>
      <c r="H20" s="6">
        <f t="shared" ref="H20:H25" si="14">60000/10000*23.56</f>
        <v>141.35999999999999</v>
      </c>
      <c r="I20" s="28"/>
      <c r="J20" s="28"/>
      <c r="K20" s="29"/>
      <c r="L20" s="29"/>
      <c r="M20" s="29"/>
      <c r="N20" s="29"/>
      <c r="O20" s="30"/>
      <c r="P20" s="29"/>
      <c r="Q20" s="29"/>
      <c r="R20" s="9">
        <v>-0.13</v>
      </c>
      <c r="S20" s="9">
        <v>0</v>
      </c>
      <c r="U20" s="9">
        <v>-0.13</v>
      </c>
      <c r="V20" s="9">
        <v>0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35">
      <c r="A21" s="1"/>
      <c r="B21" s="25"/>
      <c r="C21" s="16">
        <v>0.4</v>
      </c>
      <c r="D21" s="7">
        <f t="shared" si="13"/>
        <v>-12.140329411764704</v>
      </c>
      <c r="E21" s="11">
        <v>0.371</v>
      </c>
      <c r="F21" s="11">
        <v>7.9000000000000001E-2</v>
      </c>
      <c r="G21" s="11">
        <v>3.4</v>
      </c>
      <c r="H21" s="6">
        <f t="shared" si="14"/>
        <v>141.35999999999999</v>
      </c>
      <c r="I21" s="28"/>
      <c r="J21" s="28"/>
      <c r="K21" s="29"/>
      <c r="L21" s="29"/>
      <c r="M21" s="29"/>
      <c r="N21" s="29"/>
      <c r="O21" s="30"/>
      <c r="P21" s="29"/>
      <c r="Q21" s="29"/>
      <c r="R21" s="9">
        <v>0</v>
      </c>
      <c r="S21" s="9">
        <v>0</v>
      </c>
      <c r="U21" s="9">
        <v>0</v>
      </c>
      <c r="V21" s="9">
        <v>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35">
      <c r="A22" s="1"/>
      <c r="B22" s="25"/>
      <c r="C22" s="16">
        <v>0.6</v>
      </c>
      <c r="D22" s="7">
        <f t="shared" si="13"/>
        <v>-18.671299999999999</v>
      </c>
      <c r="E22" s="11">
        <v>0.36499999999999999</v>
      </c>
      <c r="F22" s="11">
        <v>4.8000000000000001E-2</v>
      </c>
      <c r="G22" s="11">
        <v>2.4</v>
      </c>
      <c r="H22" s="6">
        <f t="shared" si="14"/>
        <v>141.35999999999999</v>
      </c>
      <c r="I22" s="28"/>
      <c r="J22" s="28"/>
      <c r="K22" s="29"/>
      <c r="L22" s="29"/>
      <c r="M22" s="29"/>
      <c r="N22" s="29"/>
      <c r="O22" s="30"/>
      <c r="P22" s="29"/>
      <c r="Q22" s="29"/>
      <c r="R22" s="9">
        <v>0.12</v>
      </c>
      <c r="S22" s="9">
        <v>0</v>
      </c>
      <c r="U22" s="9">
        <v>0.12</v>
      </c>
      <c r="V22" s="9">
        <v>0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35">
      <c r="A23" s="1"/>
      <c r="B23" s="25"/>
      <c r="C23" s="16">
        <v>0.7</v>
      </c>
      <c r="D23" s="7">
        <f t="shared" si="13"/>
        <v>-22.282169491525423</v>
      </c>
      <c r="E23" s="11">
        <v>0.32700000000000001</v>
      </c>
      <c r="F23" s="11">
        <v>4.8000000000000001E-2</v>
      </c>
      <c r="G23" s="11">
        <v>1.77</v>
      </c>
      <c r="H23" s="6">
        <f t="shared" si="14"/>
        <v>141.35999999999999</v>
      </c>
      <c r="I23" s="28"/>
      <c r="J23" s="28"/>
      <c r="K23" s="29"/>
      <c r="L23" s="29"/>
      <c r="M23" s="29"/>
      <c r="N23" s="29"/>
      <c r="O23" s="30"/>
      <c r="P23" s="29"/>
      <c r="Q23" s="29"/>
      <c r="R23" s="9">
        <v>0.2</v>
      </c>
      <c r="S23" s="2">
        <f t="shared" ref="S23:S28" si="15">ABS(R4)</f>
        <v>0.74766075832614187</v>
      </c>
      <c r="U23" s="9">
        <v>0.2</v>
      </c>
      <c r="V23" s="9">
        <v>0.75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35">
      <c r="A24" s="1"/>
      <c r="B24" s="25"/>
      <c r="C24" s="16">
        <v>0.8</v>
      </c>
      <c r="D24" s="7">
        <f t="shared" si="13"/>
        <v>-23.787475862068963</v>
      </c>
      <c r="E24" s="11">
        <v>0.32400000000000001</v>
      </c>
      <c r="F24" s="11">
        <v>0.08</v>
      </c>
      <c r="G24" s="11">
        <v>1.45</v>
      </c>
      <c r="H24" s="6">
        <f t="shared" si="14"/>
        <v>141.35999999999999</v>
      </c>
      <c r="I24" s="28"/>
      <c r="J24" s="28"/>
      <c r="K24" s="29"/>
      <c r="L24" s="29"/>
      <c r="M24" s="29"/>
      <c r="N24" s="29"/>
      <c r="O24" s="30"/>
      <c r="P24" s="29"/>
      <c r="Q24" s="29"/>
      <c r="R24" s="9">
        <v>0.4</v>
      </c>
      <c r="S24" s="2">
        <f t="shared" si="15"/>
        <v>2.1661558091612365</v>
      </c>
      <c r="U24" s="9">
        <v>0.4</v>
      </c>
      <c r="V24" s="9">
        <v>2.21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35">
      <c r="A25" s="1"/>
      <c r="B25" s="20"/>
      <c r="C25" s="16">
        <v>1</v>
      </c>
      <c r="D25" s="7">
        <f t="shared" si="13"/>
        <v>-26.743783783783783</v>
      </c>
      <c r="E25" s="11">
        <v>0.27100000000000002</v>
      </c>
      <c r="F25" s="11">
        <v>6.0999999999999999E-2</v>
      </c>
      <c r="G25" s="11">
        <v>1.1100000000000001</v>
      </c>
      <c r="H25" s="6">
        <f t="shared" si="14"/>
        <v>141.35999999999999</v>
      </c>
      <c r="I25" s="28"/>
      <c r="J25" s="28"/>
      <c r="K25" s="29"/>
      <c r="L25" s="29"/>
      <c r="M25" s="29"/>
      <c r="N25" s="29"/>
      <c r="O25" s="30"/>
      <c r="P25" s="29"/>
      <c r="Q25" s="29"/>
      <c r="R25" s="9">
        <v>0.6</v>
      </c>
      <c r="S25" s="2">
        <f t="shared" si="15"/>
        <v>3.3888785859988944</v>
      </c>
      <c r="U25" s="9">
        <v>0.6</v>
      </c>
      <c r="V25" s="9">
        <v>3.45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35">
      <c r="A26" s="1"/>
      <c r="B26" s="5"/>
      <c r="C26" s="7"/>
      <c r="D26" s="7"/>
      <c r="E26" s="11"/>
      <c r="F26" s="11"/>
      <c r="G26" s="11"/>
      <c r="H26" s="6"/>
      <c r="I26" s="28"/>
      <c r="J26" s="28"/>
      <c r="K26" s="29"/>
      <c r="L26" s="29"/>
      <c r="M26" s="29"/>
      <c r="N26" s="29"/>
      <c r="O26" s="30"/>
      <c r="P26" s="29"/>
      <c r="Q26" s="29"/>
      <c r="R26" s="9">
        <v>0.7</v>
      </c>
      <c r="S26" s="2">
        <f t="shared" si="15"/>
        <v>3.9852198585518166</v>
      </c>
      <c r="U26" s="9">
        <v>0.7</v>
      </c>
      <c r="V26" s="9">
        <v>3.96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35">
      <c r="A27" s="1"/>
      <c r="B27" s="19">
        <v>60</v>
      </c>
      <c r="C27" s="16">
        <v>0.2</v>
      </c>
      <c r="D27" s="7">
        <f t="shared" ref="D27:D32" si="16">(F27-E27)/G27*H27</f>
        <v>-5.1831999999999985</v>
      </c>
      <c r="E27" s="11">
        <v>0.36</v>
      </c>
      <c r="F27" s="11">
        <v>0.14000000000000001</v>
      </c>
      <c r="G27" s="11">
        <v>6</v>
      </c>
      <c r="H27" s="6">
        <f t="shared" ref="H27:H32" si="17">60000/10000*23.56</f>
        <v>141.35999999999999</v>
      </c>
      <c r="I27" s="28"/>
      <c r="J27" s="28"/>
      <c r="K27" s="29"/>
      <c r="L27" s="29"/>
      <c r="M27" s="29"/>
      <c r="N27" s="29"/>
      <c r="O27" s="30"/>
      <c r="P27" s="29"/>
      <c r="Q27" s="29"/>
      <c r="R27" s="9">
        <v>0.8</v>
      </c>
      <c r="S27" s="2">
        <f t="shared" si="15"/>
        <v>4.5515117321186329</v>
      </c>
      <c r="U27" s="9">
        <v>0.8</v>
      </c>
      <c r="V27" s="9">
        <v>4.6100000000000003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35">
      <c r="A28" s="1"/>
      <c r="B28" s="25"/>
      <c r="C28" s="16">
        <v>0.4</v>
      </c>
      <c r="D28" s="7">
        <f t="shared" si="16"/>
        <v>-14.828941176470588</v>
      </c>
      <c r="E28" s="11">
        <v>0.36599999999999999</v>
      </c>
      <c r="F28" s="11">
        <v>4.4999999999999998E-2</v>
      </c>
      <c r="G28" s="11">
        <v>3.06</v>
      </c>
      <c r="H28" s="6">
        <f t="shared" si="17"/>
        <v>141.35999999999999</v>
      </c>
      <c r="I28" s="28"/>
      <c r="J28" s="28"/>
      <c r="K28" s="29"/>
      <c r="L28" s="29"/>
      <c r="M28" s="29"/>
      <c r="N28" s="29"/>
      <c r="O28" s="30"/>
      <c r="P28" s="29"/>
      <c r="Q28" s="29"/>
      <c r="R28" s="9">
        <v>1</v>
      </c>
      <c r="S28" s="2">
        <f t="shared" si="15"/>
        <v>4.843725249092687</v>
      </c>
      <c r="U28" s="9">
        <v>1</v>
      </c>
      <c r="V28" s="9">
        <v>4.67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35">
      <c r="A29" s="1"/>
      <c r="B29" s="25"/>
      <c r="C29" s="16">
        <v>0.6</v>
      </c>
      <c r="D29" s="7">
        <f t="shared" si="16"/>
        <v>-22.174117647058821</v>
      </c>
      <c r="E29" s="11">
        <v>0.38</v>
      </c>
      <c r="F29" s="11">
        <v>0.14000000000000001</v>
      </c>
      <c r="G29" s="11">
        <v>1.53</v>
      </c>
      <c r="H29" s="6">
        <f t="shared" si="17"/>
        <v>141.35999999999999</v>
      </c>
      <c r="I29" s="28"/>
      <c r="J29" s="28"/>
      <c r="K29" s="29"/>
      <c r="L29" s="29"/>
      <c r="M29" s="29"/>
      <c r="N29" s="29"/>
      <c r="O29" s="30"/>
      <c r="P29" s="29"/>
      <c r="Q29" s="29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35">
      <c r="A30" s="1"/>
      <c r="B30" s="25"/>
      <c r="C30" s="16">
        <v>0.7</v>
      </c>
      <c r="D30" s="7">
        <f t="shared" si="16"/>
        <v>-27.565199999999994</v>
      </c>
      <c r="E30" s="11">
        <v>0.35799999999999998</v>
      </c>
      <c r="F30" s="11">
        <v>8.5000000000000006E-2</v>
      </c>
      <c r="G30" s="11">
        <v>1.4</v>
      </c>
      <c r="H30" s="6">
        <f t="shared" si="17"/>
        <v>141.35999999999999</v>
      </c>
      <c r="I30" s="28"/>
      <c r="J30" s="28"/>
      <c r="K30" s="29"/>
      <c r="L30" s="29"/>
      <c r="M30" s="29"/>
      <c r="N30" s="29"/>
      <c r="O30" s="30"/>
      <c r="P30" s="29"/>
      <c r="Q30" s="29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35">
      <c r="A31" s="1"/>
      <c r="B31" s="25"/>
      <c r="C31" s="16">
        <v>0.8</v>
      </c>
      <c r="D31" s="7">
        <f t="shared" si="16"/>
        <v>-29.040260869565209</v>
      </c>
      <c r="E31" s="11">
        <v>0.35</v>
      </c>
      <c r="F31" s="11">
        <v>0.161</v>
      </c>
      <c r="G31" s="11">
        <v>0.92</v>
      </c>
      <c r="H31" s="6">
        <f t="shared" si="17"/>
        <v>141.35999999999999</v>
      </c>
      <c r="I31" s="28"/>
      <c r="J31" s="28"/>
      <c r="K31" s="29"/>
      <c r="L31" s="29"/>
      <c r="M31" s="29"/>
      <c r="N31" s="29"/>
      <c r="O31" s="30"/>
      <c r="P31" s="29"/>
      <c r="Q31" s="29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35">
      <c r="A32" s="1"/>
      <c r="B32" s="20"/>
      <c r="C32" s="16">
        <v>1</v>
      </c>
      <c r="D32" s="7">
        <f t="shared" si="16"/>
        <v>-32.730276923076921</v>
      </c>
      <c r="E32" s="11">
        <v>0.377</v>
      </c>
      <c r="F32" s="11">
        <v>7.5999999999999998E-2</v>
      </c>
      <c r="G32" s="11">
        <v>1.3</v>
      </c>
      <c r="H32" s="6">
        <f t="shared" si="17"/>
        <v>141.35999999999999</v>
      </c>
      <c r="I32" s="28"/>
      <c r="J32" s="28"/>
      <c r="K32" s="29"/>
      <c r="L32" s="29"/>
      <c r="M32" s="29"/>
      <c r="N32" s="29"/>
      <c r="O32" s="30"/>
      <c r="P32" s="29"/>
      <c r="Q32" s="29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35">
      <c r="A33" s="1"/>
      <c r="B33" s="5"/>
      <c r="C33" s="7"/>
      <c r="D33" s="7"/>
      <c r="E33" s="11"/>
      <c r="F33" s="11"/>
      <c r="G33" s="11"/>
      <c r="H33" s="6"/>
      <c r="I33" s="28"/>
      <c r="J33" s="28"/>
      <c r="K33" s="29"/>
      <c r="L33" s="29"/>
      <c r="M33" s="29"/>
      <c r="N33" s="29"/>
      <c r="O33" s="30"/>
      <c r="P33" s="29"/>
      <c r="Q33" s="29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35">
      <c r="A34" s="1"/>
      <c r="B34" s="19">
        <v>70</v>
      </c>
      <c r="C34" s="16">
        <v>0.2</v>
      </c>
      <c r="D34" s="7">
        <f t="shared" ref="D34:D39" si="18">(F34-E34)/G34*H34</f>
        <v>-5.6167039999999986</v>
      </c>
      <c r="E34" s="11">
        <v>0.36099999999999999</v>
      </c>
      <c r="F34" s="11">
        <v>6.3E-2</v>
      </c>
      <c r="G34" s="11">
        <v>7.5</v>
      </c>
      <c r="H34" s="6">
        <f t="shared" ref="H34:H39" si="19">60000/10000*23.56</f>
        <v>141.35999999999999</v>
      </c>
      <c r="I34" s="28"/>
      <c r="J34" s="28"/>
      <c r="K34" s="29"/>
      <c r="L34" s="29"/>
      <c r="M34" s="29"/>
      <c r="N34" s="29"/>
      <c r="O34" s="30"/>
      <c r="P34" s="29"/>
      <c r="Q34" s="29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35">
      <c r="A35" s="1"/>
      <c r="B35" s="25"/>
      <c r="C35" s="16">
        <v>0.4</v>
      </c>
      <c r="D35" s="7">
        <f t="shared" si="18"/>
        <v>-15.421090909090905</v>
      </c>
      <c r="E35" s="11">
        <v>0.307</v>
      </c>
      <c r="F35" s="11">
        <v>6.7000000000000004E-2</v>
      </c>
      <c r="G35" s="11">
        <v>2.2000000000000002</v>
      </c>
      <c r="H35" s="6">
        <f t="shared" si="19"/>
        <v>141.35999999999999</v>
      </c>
      <c r="I35" s="28"/>
      <c r="J35" s="28"/>
      <c r="K35" s="29"/>
      <c r="L35" s="29"/>
      <c r="M35" s="29"/>
      <c r="N35" s="29"/>
      <c r="O35" s="30"/>
      <c r="P35" s="29"/>
      <c r="Q35" s="29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35">
      <c r="A36" s="1"/>
      <c r="B36" s="25"/>
      <c r="C36" s="16">
        <v>0.6</v>
      </c>
      <c r="D36" s="7">
        <f t="shared" si="18"/>
        <v>-23.271510204081629</v>
      </c>
      <c r="E36" s="11">
        <v>0.32600000000000001</v>
      </c>
      <c r="F36" s="11">
        <v>8.4000000000000005E-2</v>
      </c>
      <c r="G36" s="11">
        <v>1.47</v>
      </c>
      <c r="H36" s="6">
        <f t="shared" si="19"/>
        <v>141.35999999999999</v>
      </c>
      <c r="I36" s="28"/>
      <c r="J36" s="28"/>
      <c r="K36" s="29"/>
      <c r="L36" s="29"/>
      <c r="M36" s="29"/>
      <c r="N36" s="29"/>
      <c r="O36" s="30"/>
      <c r="P36" s="29"/>
      <c r="Q36" s="29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35">
      <c r="A37" s="1"/>
      <c r="B37" s="25"/>
      <c r="C37" s="16">
        <v>0.7</v>
      </c>
      <c r="D37" s="7">
        <f t="shared" si="18"/>
        <v>-27.547076923076922</v>
      </c>
      <c r="E37" s="11">
        <v>0.29399999999999998</v>
      </c>
      <c r="F37" s="11">
        <v>6.6000000000000003E-2</v>
      </c>
      <c r="G37" s="11">
        <v>1.17</v>
      </c>
      <c r="H37" s="6">
        <f t="shared" si="19"/>
        <v>141.35999999999999</v>
      </c>
      <c r="I37" s="28"/>
      <c r="J37" s="28"/>
      <c r="K37" s="29"/>
      <c r="L37" s="29"/>
      <c r="M37" s="29"/>
      <c r="N37" s="29"/>
      <c r="O37" s="30"/>
      <c r="P37" s="29"/>
      <c r="Q37" s="29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35">
      <c r="A38" s="1"/>
      <c r="B38" s="25"/>
      <c r="C38" s="16">
        <v>0.8</v>
      </c>
      <c r="D38" s="7">
        <f t="shared" si="18"/>
        <v>-31.040907216494837</v>
      </c>
      <c r="E38" s="11">
        <v>0.29299999999999998</v>
      </c>
      <c r="F38" s="11">
        <v>0.08</v>
      </c>
      <c r="G38" s="11">
        <v>0.97</v>
      </c>
      <c r="H38" s="6">
        <f t="shared" si="19"/>
        <v>141.35999999999999</v>
      </c>
      <c r="I38" s="28"/>
      <c r="J38" s="28"/>
      <c r="K38" s="29"/>
      <c r="L38" s="29"/>
      <c r="M38" s="29"/>
      <c r="N38" s="29"/>
      <c r="O38" s="30"/>
      <c r="P38" s="29"/>
      <c r="Q38" s="29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35">
      <c r="A39" s="1"/>
      <c r="B39" s="20"/>
      <c r="C39" s="16">
        <v>1</v>
      </c>
      <c r="D39" s="7">
        <f t="shared" si="18"/>
        <v>-35.003428571428564</v>
      </c>
      <c r="E39" s="11">
        <v>0.28399999999999997</v>
      </c>
      <c r="F39" s="11">
        <v>7.5999999999999998E-2</v>
      </c>
      <c r="G39" s="11">
        <v>0.84</v>
      </c>
      <c r="H39" s="6">
        <f t="shared" si="19"/>
        <v>141.35999999999999</v>
      </c>
      <c r="I39" s="28"/>
      <c r="J39" s="28"/>
      <c r="K39" s="29"/>
      <c r="L39" s="29"/>
      <c r="M39" s="29"/>
      <c r="N39" s="29"/>
      <c r="O39" s="30"/>
      <c r="P39" s="29"/>
      <c r="Q39" s="29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35">
      <c r="A40" s="1"/>
      <c r="B40" s="5"/>
      <c r="C40" s="7"/>
      <c r="D40" s="7"/>
      <c r="E40" s="11"/>
      <c r="F40" s="11"/>
      <c r="G40" s="11"/>
      <c r="H40" s="6"/>
      <c r="I40" s="28"/>
      <c r="J40" s="28"/>
      <c r="K40" s="29"/>
      <c r="L40" s="29"/>
      <c r="M40" s="29"/>
      <c r="N40" s="29"/>
      <c r="O40" s="30"/>
      <c r="P40" s="29"/>
      <c r="Q40" s="29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35">
      <c r="A41" s="1"/>
      <c r="B41" s="19">
        <v>85</v>
      </c>
      <c r="C41" s="16">
        <v>0.2</v>
      </c>
      <c r="D41" s="7">
        <f t="shared" ref="D41:D46" si="20">(F41-E41)/G41*H41</f>
        <v>-6.186195777351247</v>
      </c>
      <c r="E41" s="11">
        <v>0.39700000000000002</v>
      </c>
      <c r="F41" s="11">
        <v>0.16900000000000001</v>
      </c>
      <c r="G41" s="11">
        <v>5.21</v>
      </c>
      <c r="H41" s="6">
        <f t="shared" ref="H41:H46" si="21">60000/10000*23.56</f>
        <v>141.35999999999999</v>
      </c>
      <c r="I41" s="28"/>
      <c r="J41" s="28"/>
      <c r="K41" s="29"/>
      <c r="L41" s="29"/>
      <c r="M41" s="29"/>
      <c r="N41" s="29"/>
      <c r="O41" s="30"/>
      <c r="P41" s="29"/>
      <c r="Q41" s="29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35">
      <c r="A42" s="1"/>
      <c r="B42" s="25"/>
      <c r="C42" s="16">
        <v>0.4</v>
      </c>
      <c r="D42" s="7">
        <f t="shared" si="20"/>
        <v>-18.594276923076922</v>
      </c>
      <c r="E42" s="11">
        <v>0.379</v>
      </c>
      <c r="F42" s="11">
        <v>3.6999999999999998E-2</v>
      </c>
      <c r="G42" s="11">
        <v>2.6</v>
      </c>
      <c r="H42" s="6">
        <f t="shared" si="21"/>
        <v>141.35999999999999</v>
      </c>
      <c r="I42" s="28"/>
      <c r="J42" s="28"/>
      <c r="K42" s="29"/>
      <c r="L42" s="29"/>
      <c r="M42" s="29"/>
      <c r="N42" s="29"/>
      <c r="O42" s="30"/>
      <c r="P42" s="29"/>
      <c r="Q42" s="29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35">
      <c r="A43" s="1"/>
      <c r="B43" s="25"/>
      <c r="C43" s="16">
        <v>0.6</v>
      </c>
      <c r="D43" s="7">
        <f t="shared" si="20"/>
        <v>-27.329599999999992</v>
      </c>
      <c r="E43" s="11">
        <v>0.35299999999999998</v>
      </c>
      <c r="F43" s="11">
        <v>0.17899999999999999</v>
      </c>
      <c r="G43" s="11">
        <v>0.9</v>
      </c>
      <c r="H43" s="6">
        <f t="shared" si="21"/>
        <v>141.35999999999999</v>
      </c>
      <c r="I43" s="28"/>
      <c r="J43" s="28"/>
      <c r="K43" s="29"/>
      <c r="L43" s="29"/>
      <c r="M43" s="29"/>
      <c r="N43" s="29"/>
      <c r="O43" s="30"/>
      <c r="P43" s="29"/>
      <c r="Q43" s="29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35">
      <c r="A44" s="1"/>
      <c r="B44" s="25"/>
      <c r="C44" s="16">
        <v>0.7</v>
      </c>
      <c r="D44" s="7">
        <f t="shared" si="20"/>
        <v>-33.101799999999997</v>
      </c>
      <c r="E44" s="11">
        <v>0.375</v>
      </c>
      <c r="F44" s="11">
        <v>9.4E-2</v>
      </c>
      <c r="G44" s="11">
        <v>1.2</v>
      </c>
      <c r="H44" s="6">
        <f t="shared" si="21"/>
        <v>141.35999999999999</v>
      </c>
      <c r="I44" s="28"/>
      <c r="J44" s="28"/>
      <c r="K44" s="29"/>
      <c r="L44" s="29"/>
      <c r="M44" s="29"/>
      <c r="N44" s="29"/>
      <c r="O44" s="30"/>
      <c r="P44" s="29"/>
      <c r="Q44" s="29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35">
      <c r="A45" s="1"/>
      <c r="B45" s="25"/>
      <c r="C45" s="16">
        <v>0.8</v>
      </c>
      <c r="D45" s="7">
        <f t="shared" si="20"/>
        <v>-35.922070588235286</v>
      </c>
      <c r="E45" s="11">
        <v>0.35</v>
      </c>
      <c r="F45" s="11">
        <v>0.13400000000000001</v>
      </c>
      <c r="G45" s="11">
        <v>0.85</v>
      </c>
      <c r="H45" s="6">
        <f t="shared" si="21"/>
        <v>141.35999999999999</v>
      </c>
      <c r="I45" s="1"/>
      <c r="J45" s="1"/>
      <c r="O45" s="2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35">
      <c r="A46" s="1"/>
      <c r="B46" s="20"/>
      <c r="C46" s="16">
        <v>1</v>
      </c>
      <c r="D46" s="7">
        <f t="shared" si="20"/>
        <v>-37.524654545454538</v>
      </c>
      <c r="E46" s="11">
        <v>0.36599999999999999</v>
      </c>
      <c r="F46" s="11">
        <v>7.3999999999999996E-2</v>
      </c>
      <c r="G46" s="11">
        <v>1.1000000000000001</v>
      </c>
      <c r="H46" s="6">
        <f t="shared" si="21"/>
        <v>141.35999999999999</v>
      </c>
      <c r="I46" s="1"/>
      <c r="J46" s="1"/>
      <c r="O46" s="2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35">
      <c r="A47" s="1"/>
      <c r="B47" s="12"/>
      <c r="C47" s="1"/>
      <c r="D47" s="1"/>
      <c r="E47" s="1"/>
      <c r="F47" s="1"/>
      <c r="G47" s="1"/>
      <c r="H47" s="1"/>
      <c r="I47" s="1"/>
      <c r="J47" s="1"/>
      <c r="O47" s="2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35">
      <c r="A48" s="1"/>
      <c r="B48" s="12"/>
      <c r="C48" s="1"/>
      <c r="D48" s="1"/>
      <c r="E48" s="1"/>
      <c r="F48" s="1"/>
      <c r="G48" s="1"/>
      <c r="H48" s="1"/>
      <c r="I48" s="1"/>
      <c r="J48" s="1"/>
      <c r="K48" s="13"/>
      <c r="L48" s="12"/>
      <c r="M48" s="12"/>
      <c r="N48" s="14"/>
      <c r="O48" s="12"/>
      <c r="P48" s="12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x14ac:dyDescent="0.35">
      <c r="A49" s="1"/>
      <c r="B49" s="12" t="s">
        <v>20</v>
      </c>
      <c r="C49" s="1"/>
      <c r="D49" s="1"/>
      <c r="E49" s="1"/>
      <c r="F49" s="1"/>
      <c r="G49" s="1"/>
      <c r="H49" s="1"/>
      <c r="I49" s="1"/>
      <c r="J49" s="1"/>
      <c r="K49" s="13"/>
      <c r="L49" s="12"/>
      <c r="M49" s="12"/>
      <c r="N49" s="14"/>
      <c r="O49" s="12"/>
      <c r="P49" s="12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x14ac:dyDescent="0.35">
      <c r="A50" s="1"/>
      <c r="B50" s="1" t="s">
        <v>21</v>
      </c>
      <c r="C50" s="1"/>
      <c r="D50" s="1"/>
      <c r="E50" s="1"/>
      <c r="F50" s="1"/>
      <c r="G50" s="1"/>
      <c r="H50" s="1"/>
      <c r="I50" s="1"/>
      <c r="J50" s="1"/>
      <c r="K50" s="13"/>
      <c r="L50" s="12"/>
      <c r="M50" s="12"/>
      <c r="N50" s="14"/>
      <c r="O50" s="12"/>
      <c r="P50" s="1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x14ac:dyDescent="0.35">
      <c r="A51" s="1"/>
      <c r="B51" s="1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35">
      <c r="A53" s="1"/>
      <c r="B53" s="19" t="s">
        <v>0</v>
      </c>
      <c r="C53" s="21">
        <v>100</v>
      </c>
      <c r="D53" s="22"/>
      <c r="E53" s="21">
        <v>115</v>
      </c>
      <c r="F53" s="22"/>
      <c r="G53" s="21">
        <v>125</v>
      </c>
      <c r="H53" s="22"/>
      <c r="I53" s="21">
        <v>135</v>
      </c>
      <c r="J53" s="22"/>
      <c r="K53" s="21">
        <v>150</v>
      </c>
      <c r="L53" s="22"/>
      <c r="M53" s="1"/>
      <c r="N53" s="1"/>
      <c r="O53" s="1"/>
      <c r="P53" s="1"/>
      <c r="Q53" s="1"/>
      <c r="R53" s="15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35">
      <c r="A54" s="1"/>
      <c r="B54" s="20"/>
      <c r="C54" s="3" t="s">
        <v>22</v>
      </c>
      <c r="D54" s="3" t="s">
        <v>2</v>
      </c>
      <c r="E54" s="3" t="s">
        <v>22</v>
      </c>
      <c r="F54" s="3" t="s">
        <v>2</v>
      </c>
      <c r="G54" s="3" t="s">
        <v>22</v>
      </c>
      <c r="H54" s="3" t="s">
        <v>2</v>
      </c>
      <c r="I54" s="3" t="s">
        <v>22</v>
      </c>
      <c r="J54" s="3" t="s">
        <v>2</v>
      </c>
      <c r="K54" s="3" t="s">
        <v>22</v>
      </c>
      <c r="L54" s="3" t="s">
        <v>2</v>
      </c>
      <c r="M54" s="1" t="s">
        <v>3</v>
      </c>
      <c r="N54" s="1"/>
      <c r="O54" s="1" t="s">
        <v>3</v>
      </c>
      <c r="P54" s="1"/>
      <c r="Q54" s="1" t="s">
        <v>3</v>
      </c>
      <c r="R54" s="15" t="s">
        <v>4</v>
      </c>
      <c r="S54" s="26" t="s">
        <v>5</v>
      </c>
      <c r="T54" s="24"/>
      <c r="U54" s="24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35">
      <c r="A55" s="1"/>
      <c r="B55" s="5">
        <v>-0.2</v>
      </c>
      <c r="C55" s="6">
        <v>82.25</v>
      </c>
      <c r="D55" s="7">
        <f t="shared" ref="D55:D60" si="22">D64</f>
        <v>3.3633870967741943</v>
      </c>
      <c r="E55" s="6">
        <v>83.7</v>
      </c>
      <c r="F55" s="8">
        <f t="shared" ref="F55:F60" si="23">D71</f>
        <v>4.3828965517241389</v>
      </c>
      <c r="G55" s="6">
        <v>86.5</v>
      </c>
      <c r="H55" s="7">
        <f t="shared" ref="H55:H60" si="24">D78</f>
        <v>4.8947878787878798</v>
      </c>
      <c r="I55" s="6">
        <v>86.65</v>
      </c>
      <c r="J55" s="8">
        <f t="shared" ref="J55:J60" si="25">D85</f>
        <v>5.4339166666666667</v>
      </c>
      <c r="K55" s="6">
        <v>88</v>
      </c>
      <c r="L55" s="8">
        <f t="shared" ref="L55:L60" si="26">D92</f>
        <v>5.8570169491525421</v>
      </c>
      <c r="M55" s="1">
        <f t="shared" ref="M55:M60" si="27">D55/(C$53-C55)^0.5</f>
        <v>0.79832122317149767</v>
      </c>
      <c r="N55" s="1">
        <f t="shared" ref="N55:N60" si="28">F55/(E$53-E55)^0.5</f>
        <v>0.78340989281692741</v>
      </c>
      <c r="O55" s="1">
        <f t="shared" ref="O55:O60" si="29">H55/(G$53-G55)^0.5</f>
        <v>0.78886649535207065</v>
      </c>
      <c r="P55" s="1">
        <f t="shared" ref="P55:P60" si="30">J55/(I$53-I55)^0.5</f>
        <v>0.7814743621531971</v>
      </c>
      <c r="Q55" s="1">
        <f t="shared" ref="Q55:Q60" si="31">L55/(K$53-K55)^0.5</f>
        <v>0.74384189638464115</v>
      </c>
      <c r="R55" s="2">
        <f t="shared" ref="R55:R60" si="32">SUM(M55:Q55)/5</f>
        <v>0.77918277397566682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1"/>
      <c r="B56" s="5">
        <v>-0.4</v>
      </c>
      <c r="C56" s="6">
        <v>80.78</v>
      </c>
      <c r="D56" s="7">
        <f t="shared" si="22"/>
        <v>10.078950000000003</v>
      </c>
      <c r="E56" s="6">
        <v>85.45</v>
      </c>
      <c r="F56" s="8">
        <f t="shared" si="23"/>
        <v>12.236322580645163</v>
      </c>
      <c r="G56" s="6">
        <v>85.15</v>
      </c>
      <c r="H56" s="7">
        <f t="shared" si="24"/>
        <v>14.15025</v>
      </c>
      <c r="I56" s="6">
        <v>89.55</v>
      </c>
      <c r="J56" s="8">
        <f t="shared" si="25"/>
        <v>15.509714285714287</v>
      </c>
      <c r="K56" s="6">
        <v>90.9</v>
      </c>
      <c r="L56" s="8">
        <f t="shared" si="26"/>
        <v>18.157714285714288</v>
      </c>
      <c r="M56" s="1">
        <f t="shared" si="27"/>
        <v>2.2989980297548884</v>
      </c>
      <c r="N56" s="1">
        <f t="shared" si="28"/>
        <v>2.2509827919221945</v>
      </c>
      <c r="O56" s="1">
        <f t="shared" si="29"/>
        <v>2.2415578416366508</v>
      </c>
      <c r="P56" s="1">
        <f t="shared" si="30"/>
        <v>2.3005774241670793</v>
      </c>
      <c r="Q56" s="1">
        <f t="shared" si="31"/>
        <v>2.361932258684206</v>
      </c>
      <c r="R56" s="2">
        <f t="shared" si="32"/>
        <v>2.2908096692330036</v>
      </c>
      <c r="S56" s="1" t="s">
        <v>23</v>
      </c>
      <c r="T56" s="1" t="s">
        <v>24</v>
      </c>
      <c r="U56" s="1" t="s">
        <v>25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35">
      <c r="A57" s="1"/>
      <c r="B57" s="5">
        <v>-0.6</v>
      </c>
      <c r="C57" s="6">
        <v>83.6</v>
      </c>
      <c r="D57" s="7">
        <f t="shared" si="22"/>
        <v>9.2539148936170239</v>
      </c>
      <c r="E57" s="6">
        <v>86</v>
      </c>
      <c r="F57" s="8">
        <f t="shared" si="23"/>
        <v>18.977333333333338</v>
      </c>
      <c r="G57" s="6">
        <v>88.95</v>
      </c>
      <c r="H57" s="7">
        <f t="shared" si="24"/>
        <v>22.915384615384621</v>
      </c>
      <c r="I57" s="6">
        <v>91.45</v>
      </c>
      <c r="J57" s="8">
        <f t="shared" si="25"/>
        <v>24.734727272727277</v>
      </c>
      <c r="K57" s="6">
        <v>94.4</v>
      </c>
      <c r="L57" s="8">
        <f t="shared" si="26"/>
        <v>27.651230769230775</v>
      </c>
      <c r="M57" s="1">
        <f t="shared" si="27"/>
        <v>2.2850914063254932</v>
      </c>
      <c r="N57" s="1">
        <f t="shared" si="28"/>
        <v>3.5240023310319732</v>
      </c>
      <c r="O57" s="1">
        <f t="shared" si="29"/>
        <v>3.8165812852010155</v>
      </c>
      <c r="P57" s="1">
        <f t="shared" si="30"/>
        <v>3.7481161996483721</v>
      </c>
      <c r="Q57" s="1">
        <f t="shared" si="31"/>
        <v>3.708318868691455</v>
      </c>
      <c r="R57" s="2">
        <f t="shared" si="32"/>
        <v>3.4164220181796621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35">
      <c r="A58" s="1"/>
      <c r="B58" s="5">
        <v>-0.7</v>
      </c>
      <c r="C58" s="6">
        <v>81.95</v>
      </c>
      <c r="D58" s="7">
        <f t="shared" si="22"/>
        <v>19.562100000000001</v>
      </c>
      <c r="E58" s="6">
        <v>87.5</v>
      </c>
      <c r="F58" s="8">
        <f t="shared" si="23"/>
        <v>24.949124999999999</v>
      </c>
      <c r="G58" s="6">
        <v>88.1</v>
      </c>
      <c r="H58" s="7">
        <f t="shared" si="24"/>
        <v>26.612400000000004</v>
      </c>
      <c r="I58" s="6">
        <v>93.4</v>
      </c>
      <c r="J58" s="8">
        <f t="shared" si="25"/>
        <v>29.469677419354841</v>
      </c>
      <c r="K58" s="6">
        <v>95.45</v>
      </c>
      <c r="L58" s="8">
        <f t="shared" si="26"/>
        <v>34.187571428571438</v>
      </c>
      <c r="M58" s="1">
        <f t="shared" si="27"/>
        <v>4.6044405665945938</v>
      </c>
      <c r="N58" s="1">
        <f t="shared" si="28"/>
        <v>4.7576114643823875</v>
      </c>
      <c r="O58" s="1">
        <f t="shared" si="29"/>
        <v>4.3809758529795904</v>
      </c>
      <c r="P58" s="1">
        <f t="shared" si="30"/>
        <v>4.5690795214240847</v>
      </c>
      <c r="Q58" s="1">
        <f t="shared" si="31"/>
        <v>4.6288261903758023</v>
      </c>
      <c r="R58" s="2">
        <f t="shared" si="32"/>
        <v>4.5881867191512926</v>
      </c>
      <c r="S58" s="1" t="s">
        <v>26</v>
      </c>
      <c r="T58" s="1" t="s">
        <v>27</v>
      </c>
      <c r="U58" s="1" t="s">
        <v>28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1"/>
      <c r="B59" s="5">
        <v>-0.8</v>
      </c>
      <c r="C59" s="6">
        <v>83.55</v>
      </c>
      <c r="D59" s="7">
        <f t="shared" si="22"/>
        <v>14.836588235294119</v>
      </c>
      <c r="E59" s="6">
        <v>88.45</v>
      </c>
      <c r="F59" s="8">
        <f t="shared" si="23"/>
        <v>26.720727272727267</v>
      </c>
      <c r="G59" s="6">
        <v>93.8</v>
      </c>
      <c r="H59" s="7">
        <f t="shared" si="24"/>
        <v>32.167605633802822</v>
      </c>
      <c r="I59" s="6">
        <v>95.8</v>
      </c>
      <c r="J59" s="8">
        <f t="shared" si="25"/>
        <v>33.894400000000012</v>
      </c>
      <c r="K59" s="6">
        <v>99.45</v>
      </c>
      <c r="L59" s="8">
        <f t="shared" si="26"/>
        <v>38.509024390243901</v>
      </c>
      <c r="M59" s="1">
        <f t="shared" si="27"/>
        <v>3.6580622576815216</v>
      </c>
      <c r="N59" s="1">
        <f t="shared" si="28"/>
        <v>5.1858029649313888</v>
      </c>
      <c r="O59" s="1">
        <f t="shared" si="29"/>
        <v>5.7589252141502145</v>
      </c>
      <c r="P59" s="1">
        <f t="shared" si="30"/>
        <v>5.4135844611834925</v>
      </c>
      <c r="Q59" s="1">
        <f t="shared" si="31"/>
        <v>5.4162903337061801</v>
      </c>
      <c r="R59" s="2">
        <f t="shared" si="32"/>
        <v>5.08653304633056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35">
      <c r="A60" s="1"/>
      <c r="B60" s="5">
        <v>-1</v>
      </c>
      <c r="C60" s="6">
        <v>83.5</v>
      </c>
      <c r="D60" s="7">
        <f t="shared" si="22"/>
        <v>24.924300000000002</v>
      </c>
      <c r="E60" s="6">
        <v>89.4</v>
      </c>
      <c r="F60" s="8">
        <f t="shared" si="23"/>
        <v>26.562750000000005</v>
      </c>
      <c r="G60" s="6">
        <v>91.4</v>
      </c>
      <c r="H60" s="7">
        <f t="shared" si="24"/>
        <v>34.556400000000004</v>
      </c>
      <c r="I60" s="6">
        <v>97.55</v>
      </c>
      <c r="J60" s="8">
        <f t="shared" si="25"/>
        <v>38.497846153846154</v>
      </c>
      <c r="K60" s="6">
        <v>92.8</v>
      </c>
      <c r="L60" s="8">
        <f t="shared" si="26"/>
        <v>37.285548387096775</v>
      </c>
      <c r="M60" s="1">
        <f t="shared" si="27"/>
        <v>6.1359384972323658</v>
      </c>
      <c r="N60" s="1">
        <f t="shared" si="28"/>
        <v>5.2499244323523531</v>
      </c>
      <c r="O60" s="1">
        <f t="shared" si="29"/>
        <v>5.9615453737145332</v>
      </c>
      <c r="P60" s="1">
        <f t="shared" si="30"/>
        <v>6.2908672619506252</v>
      </c>
      <c r="Q60" s="1">
        <f t="shared" si="31"/>
        <v>4.9299500673483303</v>
      </c>
      <c r="R60" s="2">
        <f t="shared" si="32"/>
        <v>5.7136451265196415</v>
      </c>
      <c r="S60" s="1" t="s">
        <v>29</v>
      </c>
      <c r="T60" s="1" t="s">
        <v>30</v>
      </c>
      <c r="U60" s="1" t="s">
        <v>31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35">
      <c r="A63" s="1"/>
      <c r="B63" s="5"/>
      <c r="C63" s="10" t="s">
        <v>32</v>
      </c>
      <c r="D63" s="10" t="s">
        <v>15</v>
      </c>
      <c r="E63" s="10" t="s">
        <v>16</v>
      </c>
      <c r="F63" s="10" t="s">
        <v>17</v>
      </c>
      <c r="G63" s="10" t="s">
        <v>18</v>
      </c>
      <c r="H63" s="10" t="s">
        <v>19</v>
      </c>
      <c r="I63" s="1"/>
      <c r="J63" s="1"/>
      <c r="K63" s="1"/>
      <c r="L63" s="9">
        <v>89.9</v>
      </c>
      <c r="M63" s="1"/>
      <c r="N63" s="1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35">
      <c r="A64" s="1"/>
      <c r="B64" s="19">
        <v>100</v>
      </c>
      <c r="C64" s="16">
        <f t="shared" ref="C64:C69" si="33">-C13</f>
        <v>-0.2</v>
      </c>
      <c r="D64" s="7">
        <f t="shared" ref="D64:D69" si="34">(F64-E64)/G64*H64</f>
        <v>3.3633870967741943</v>
      </c>
      <c r="E64" s="11">
        <v>5.5E-2</v>
      </c>
      <c r="F64" s="11">
        <v>0.16</v>
      </c>
      <c r="G64" s="11">
        <v>6.2</v>
      </c>
      <c r="H64" s="11">
        <f t="shared" ref="H64:H69" si="35">60000/10000*33.1</f>
        <v>198.60000000000002</v>
      </c>
      <c r="I64" s="1"/>
      <c r="J64" s="1"/>
      <c r="K64" s="1"/>
      <c r="L64" s="9">
        <v>88.9</v>
      </c>
      <c r="M64" s="1"/>
      <c r="N64" s="1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x14ac:dyDescent="0.35">
      <c r="A65" s="1"/>
      <c r="B65" s="25"/>
      <c r="C65" s="16">
        <f t="shared" si="33"/>
        <v>-0.4</v>
      </c>
      <c r="D65" s="7">
        <f t="shared" si="34"/>
        <v>10.078950000000003</v>
      </c>
      <c r="E65" s="11">
        <v>0.122</v>
      </c>
      <c r="F65" s="11">
        <v>0.32500000000000001</v>
      </c>
      <c r="G65" s="11">
        <v>4</v>
      </c>
      <c r="H65" s="11">
        <f t="shared" si="35"/>
        <v>198.60000000000002</v>
      </c>
      <c r="I65" s="1"/>
      <c r="J65" s="1"/>
      <c r="K65" s="1"/>
      <c r="M65" s="1"/>
      <c r="N65" s="1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x14ac:dyDescent="0.35">
      <c r="A66" s="1"/>
      <c r="B66" s="25"/>
      <c r="C66" s="16">
        <f t="shared" si="33"/>
        <v>-0.6</v>
      </c>
      <c r="D66" s="7">
        <f t="shared" si="34"/>
        <v>9.2539148936170239</v>
      </c>
      <c r="E66" s="11">
        <v>5.2999999999999999E-2</v>
      </c>
      <c r="F66" s="11">
        <v>0.27200000000000002</v>
      </c>
      <c r="G66" s="11">
        <v>4.7</v>
      </c>
      <c r="H66" s="11">
        <f t="shared" si="35"/>
        <v>198.60000000000002</v>
      </c>
      <c r="I66" s="1"/>
      <c r="J66" s="1"/>
      <c r="K66" s="1"/>
      <c r="L66" s="9">
        <f>(L63+L64)/2</f>
        <v>89.4</v>
      </c>
      <c r="M66" s="1"/>
      <c r="N66" s="1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x14ac:dyDescent="0.35">
      <c r="A67" s="1"/>
      <c r="B67" s="25"/>
      <c r="C67" s="16">
        <f t="shared" si="33"/>
        <v>-0.7</v>
      </c>
      <c r="D67" s="7">
        <f t="shared" si="34"/>
        <v>19.562100000000001</v>
      </c>
      <c r="E67" s="11">
        <v>0.14699999999999999</v>
      </c>
      <c r="F67" s="11">
        <v>0.34399999999999997</v>
      </c>
      <c r="G67" s="11">
        <v>2</v>
      </c>
      <c r="H67" s="11">
        <f t="shared" si="35"/>
        <v>198.60000000000002</v>
      </c>
      <c r="I67" s="1"/>
      <c r="J67" s="1"/>
      <c r="K67" s="1"/>
      <c r="L67" s="1"/>
      <c r="M67" s="1"/>
      <c r="N67" s="1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x14ac:dyDescent="0.35">
      <c r="A68" s="1"/>
      <c r="B68" s="25"/>
      <c r="C68" s="16">
        <f t="shared" si="33"/>
        <v>-0.8</v>
      </c>
      <c r="D68" s="7">
        <f t="shared" si="34"/>
        <v>14.836588235294119</v>
      </c>
      <c r="E68" s="11">
        <v>7.6999999999999999E-2</v>
      </c>
      <c r="F68" s="11">
        <v>0.33100000000000002</v>
      </c>
      <c r="G68" s="11">
        <v>3.4</v>
      </c>
      <c r="H68" s="11">
        <f t="shared" si="35"/>
        <v>198.60000000000002</v>
      </c>
      <c r="I68" s="1"/>
      <c r="J68" s="1"/>
      <c r="K68" s="1"/>
      <c r="L68" s="1"/>
      <c r="M68" s="1"/>
      <c r="N68" s="1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x14ac:dyDescent="0.35">
      <c r="A69" s="1"/>
      <c r="B69" s="20"/>
      <c r="C69" s="16">
        <f t="shared" si="33"/>
        <v>-1</v>
      </c>
      <c r="D69" s="7">
        <f t="shared" si="34"/>
        <v>24.924300000000002</v>
      </c>
      <c r="E69" s="11">
        <v>0.13500000000000001</v>
      </c>
      <c r="F69" s="11">
        <v>0.38600000000000001</v>
      </c>
      <c r="G69" s="11">
        <v>2</v>
      </c>
      <c r="H69" s="11">
        <f t="shared" si="35"/>
        <v>198.60000000000002</v>
      </c>
      <c r="I69" s="1"/>
      <c r="J69" s="1"/>
      <c r="K69" s="1"/>
      <c r="L69" s="1"/>
      <c r="M69" s="1"/>
      <c r="N69" s="1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x14ac:dyDescent="0.35">
      <c r="A70" s="1"/>
      <c r="B70" s="5"/>
      <c r="C70" s="16"/>
      <c r="D70" s="7"/>
      <c r="E70" s="11"/>
      <c r="F70" s="11"/>
      <c r="G70" s="11"/>
      <c r="H70" s="11"/>
      <c r="I70" s="1"/>
      <c r="J70" s="1"/>
      <c r="K70" s="1"/>
      <c r="L70" s="1"/>
      <c r="M70" s="1"/>
      <c r="N70" s="1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x14ac:dyDescent="0.35">
      <c r="A71" s="1"/>
      <c r="B71" s="19">
        <v>115</v>
      </c>
      <c r="C71" s="16">
        <f t="shared" ref="C71:C76" si="36">-C20</f>
        <v>-0.2</v>
      </c>
      <c r="D71" s="7">
        <f t="shared" ref="D71:D76" si="37">(F71-E71)/G71*H71</f>
        <v>4.3828965517241389</v>
      </c>
      <c r="E71" s="11">
        <v>0.105</v>
      </c>
      <c r="F71" s="11">
        <v>0.23300000000000001</v>
      </c>
      <c r="G71" s="11">
        <v>5.8</v>
      </c>
      <c r="H71" s="11">
        <f t="shared" ref="H71:H76" si="38">60000/10000*33.1</f>
        <v>198.60000000000002</v>
      </c>
      <c r="I71" s="1"/>
      <c r="J71" s="1"/>
      <c r="K71" s="1"/>
      <c r="L71" s="1"/>
      <c r="M71" s="1"/>
      <c r="N71" s="1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x14ac:dyDescent="0.35">
      <c r="A72" s="1"/>
      <c r="B72" s="25"/>
      <c r="C72" s="16">
        <f t="shared" si="36"/>
        <v>-0.4</v>
      </c>
      <c r="D72" s="7">
        <f t="shared" si="37"/>
        <v>12.236322580645163</v>
      </c>
      <c r="E72" s="11">
        <v>0.11899999999999999</v>
      </c>
      <c r="F72" s="11">
        <v>0.31</v>
      </c>
      <c r="G72" s="11">
        <v>3.1</v>
      </c>
      <c r="H72" s="11">
        <f t="shared" si="38"/>
        <v>198.60000000000002</v>
      </c>
      <c r="I72" s="1"/>
      <c r="J72" s="1"/>
      <c r="K72" s="1"/>
      <c r="L72" s="1"/>
      <c r="M72" s="1"/>
      <c r="N72" s="1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x14ac:dyDescent="0.35">
      <c r="A73" s="1"/>
      <c r="B73" s="25"/>
      <c r="C73" s="16">
        <f t="shared" si="36"/>
        <v>-0.6</v>
      </c>
      <c r="D73" s="7">
        <f t="shared" si="37"/>
        <v>18.977333333333338</v>
      </c>
      <c r="E73" s="11">
        <v>0.16700000000000001</v>
      </c>
      <c r="F73" s="11">
        <v>0.33900000000000002</v>
      </c>
      <c r="G73" s="11">
        <v>1.8</v>
      </c>
      <c r="H73" s="11">
        <f t="shared" si="38"/>
        <v>198.60000000000002</v>
      </c>
      <c r="I73" s="1"/>
      <c r="J73" s="1"/>
      <c r="K73" s="1"/>
      <c r="L73" s="1"/>
      <c r="M73" s="1"/>
      <c r="N73" s="1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x14ac:dyDescent="0.35">
      <c r="A74" s="1"/>
      <c r="B74" s="25"/>
      <c r="C74" s="16">
        <f t="shared" si="36"/>
        <v>-0.7</v>
      </c>
      <c r="D74" s="7">
        <f t="shared" si="37"/>
        <v>24.949124999999999</v>
      </c>
      <c r="E74" s="11">
        <v>0.16900000000000001</v>
      </c>
      <c r="F74" s="11">
        <v>0.37</v>
      </c>
      <c r="G74" s="11">
        <v>1.6</v>
      </c>
      <c r="H74" s="11">
        <f t="shared" si="38"/>
        <v>198.60000000000002</v>
      </c>
      <c r="I74" s="1"/>
      <c r="J74" s="1"/>
      <c r="K74" s="1"/>
      <c r="L74" s="1"/>
      <c r="M74" s="1"/>
      <c r="N74" s="1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x14ac:dyDescent="0.35">
      <c r="A75" s="1"/>
      <c r="B75" s="25"/>
      <c r="C75" s="16">
        <f t="shared" si="36"/>
        <v>-0.8</v>
      </c>
      <c r="D75" s="7">
        <f t="shared" si="37"/>
        <v>26.720727272727267</v>
      </c>
      <c r="E75" s="11">
        <v>0.19600000000000001</v>
      </c>
      <c r="F75" s="11">
        <v>0.34399999999999997</v>
      </c>
      <c r="G75" s="11">
        <v>1.1000000000000001</v>
      </c>
      <c r="H75" s="11">
        <f t="shared" si="38"/>
        <v>198.60000000000002</v>
      </c>
      <c r="I75" s="1"/>
      <c r="J75" s="1"/>
      <c r="K75" s="1"/>
      <c r="L75" s="1"/>
      <c r="M75" s="1"/>
      <c r="N75" s="1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x14ac:dyDescent="0.35">
      <c r="A76" s="1"/>
      <c r="B76" s="20"/>
      <c r="C76" s="16">
        <f t="shared" si="36"/>
        <v>-1</v>
      </c>
      <c r="D76" s="7">
        <f t="shared" si="37"/>
        <v>26.562750000000005</v>
      </c>
      <c r="E76" s="11">
        <v>0.20699999999999999</v>
      </c>
      <c r="F76" s="11">
        <v>0.314</v>
      </c>
      <c r="G76" s="11">
        <v>0.8</v>
      </c>
      <c r="H76" s="11">
        <f t="shared" si="38"/>
        <v>198.60000000000002</v>
      </c>
      <c r="I76" s="1"/>
      <c r="J76" s="1"/>
      <c r="K76" s="1"/>
      <c r="L76" s="1"/>
      <c r="M76" s="1"/>
      <c r="N76" s="1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x14ac:dyDescent="0.35">
      <c r="A77" s="1"/>
      <c r="B77" s="5"/>
      <c r="C77" s="16"/>
      <c r="D77" s="7"/>
      <c r="E77" s="11"/>
      <c r="F77" s="11"/>
      <c r="G77" s="11"/>
      <c r="H77" s="11"/>
      <c r="I77" s="1"/>
      <c r="J77" s="1"/>
      <c r="K77" s="1"/>
      <c r="L77" s="1"/>
      <c r="M77" s="1"/>
      <c r="N77" s="1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x14ac:dyDescent="0.35">
      <c r="A78" s="1"/>
      <c r="B78" s="19">
        <v>125</v>
      </c>
      <c r="C78" s="16">
        <f t="shared" ref="C78:C83" si="39">-C27</f>
        <v>-0.2</v>
      </c>
      <c r="D78" s="7">
        <f t="shared" ref="D78:D83" si="40">(F78-E78)/G78*H78</f>
        <v>4.8947878787878798</v>
      </c>
      <c r="E78" s="11">
        <v>3.5999999999999997E-2</v>
      </c>
      <c r="F78" s="11">
        <v>0.28000000000000003</v>
      </c>
      <c r="G78" s="11">
        <v>9.9</v>
      </c>
      <c r="H78" s="11">
        <f t="shared" ref="H78:H83" si="41">60000/10000*33.1</f>
        <v>198.60000000000002</v>
      </c>
      <c r="I78" s="1"/>
      <c r="J78" s="1"/>
      <c r="K78" s="1"/>
      <c r="L78" s="1"/>
      <c r="M78" s="1"/>
      <c r="N78" s="1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x14ac:dyDescent="0.35">
      <c r="A79" s="1"/>
      <c r="B79" s="25"/>
      <c r="C79" s="16">
        <f t="shared" si="39"/>
        <v>-0.4</v>
      </c>
      <c r="D79" s="7">
        <f t="shared" si="40"/>
        <v>14.15025</v>
      </c>
      <c r="E79" s="11">
        <v>8.1000000000000003E-2</v>
      </c>
      <c r="F79" s="11">
        <v>0.36599999999999999</v>
      </c>
      <c r="G79" s="11">
        <v>4</v>
      </c>
      <c r="H79" s="11">
        <f t="shared" si="41"/>
        <v>198.60000000000002</v>
      </c>
      <c r="I79" s="1"/>
      <c r="J79" s="1"/>
      <c r="K79" s="1"/>
      <c r="L79" s="1"/>
      <c r="M79" s="1"/>
      <c r="N79" s="1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x14ac:dyDescent="0.35">
      <c r="A80" s="1"/>
      <c r="B80" s="25"/>
      <c r="C80" s="16">
        <f t="shared" si="39"/>
        <v>-0.6</v>
      </c>
      <c r="D80" s="7">
        <f t="shared" si="40"/>
        <v>22.915384615384621</v>
      </c>
      <c r="E80" s="11">
        <v>0.19</v>
      </c>
      <c r="F80" s="11">
        <v>0.34</v>
      </c>
      <c r="G80" s="11">
        <v>1.3</v>
      </c>
      <c r="H80" s="11">
        <f t="shared" si="41"/>
        <v>198.60000000000002</v>
      </c>
      <c r="I80" s="1"/>
      <c r="J80" s="1"/>
      <c r="K80" s="1"/>
      <c r="L80" s="1"/>
      <c r="M80" s="1"/>
      <c r="N80" s="1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x14ac:dyDescent="0.35">
      <c r="A81" s="1"/>
      <c r="B81" s="25"/>
      <c r="C81" s="16">
        <f t="shared" si="39"/>
        <v>-0.7</v>
      </c>
      <c r="D81" s="7">
        <f t="shared" si="40"/>
        <v>26.612400000000004</v>
      </c>
      <c r="E81" s="11">
        <v>5.3999999999999999E-2</v>
      </c>
      <c r="F81" s="11">
        <v>0.32200000000000001</v>
      </c>
      <c r="G81" s="11">
        <v>2</v>
      </c>
      <c r="H81" s="11">
        <f t="shared" si="41"/>
        <v>198.60000000000002</v>
      </c>
      <c r="I81" s="1"/>
      <c r="J81" s="1"/>
      <c r="K81" s="1"/>
      <c r="L81" s="1"/>
      <c r="M81" s="1"/>
      <c r="N81" s="1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x14ac:dyDescent="0.35">
      <c r="A82" s="1"/>
      <c r="B82" s="25"/>
      <c r="C82" s="16">
        <f t="shared" si="39"/>
        <v>-0.8</v>
      </c>
      <c r="D82" s="7">
        <f t="shared" si="40"/>
        <v>32.167605633802822</v>
      </c>
      <c r="E82" s="11">
        <v>0.10100000000000001</v>
      </c>
      <c r="F82" s="11">
        <v>0.44600000000000001</v>
      </c>
      <c r="G82" s="11">
        <v>2.13</v>
      </c>
      <c r="H82" s="11">
        <f t="shared" si="41"/>
        <v>198.60000000000002</v>
      </c>
      <c r="I82" s="1"/>
      <c r="J82" s="1"/>
      <c r="K82" s="1"/>
      <c r="L82" s="1"/>
      <c r="M82" s="1"/>
      <c r="N82" s="1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x14ac:dyDescent="0.35">
      <c r="A83" s="1"/>
      <c r="B83" s="20"/>
      <c r="C83" s="16">
        <f t="shared" si="39"/>
        <v>-1</v>
      </c>
      <c r="D83" s="7">
        <f t="shared" si="40"/>
        <v>34.556400000000004</v>
      </c>
      <c r="E83" s="11">
        <v>0.10199999999999999</v>
      </c>
      <c r="F83" s="11">
        <v>0.36299999999999999</v>
      </c>
      <c r="G83" s="11">
        <v>1.5</v>
      </c>
      <c r="H83" s="11">
        <f t="shared" si="41"/>
        <v>198.60000000000002</v>
      </c>
      <c r="I83" s="1"/>
      <c r="J83" s="1"/>
      <c r="K83" s="1"/>
      <c r="L83" s="1"/>
      <c r="M83" s="1"/>
      <c r="N83" s="1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x14ac:dyDescent="0.35">
      <c r="A84" s="1"/>
      <c r="B84" s="5"/>
      <c r="C84" s="16"/>
      <c r="D84" s="7"/>
      <c r="E84" s="11"/>
      <c r="F84" s="11"/>
      <c r="G84" s="11"/>
      <c r="H84" s="11"/>
      <c r="I84" s="1"/>
      <c r="J84" s="1"/>
      <c r="K84" s="1"/>
      <c r="L84" s="1"/>
      <c r="M84" s="1"/>
      <c r="N84" s="1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x14ac:dyDescent="0.35">
      <c r="A85" s="1"/>
      <c r="B85" s="19">
        <v>135</v>
      </c>
      <c r="C85" s="16">
        <f t="shared" ref="C85:C90" si="42">-C34</f>
        <v>-0.2</v>
      </c>
      <c r="D85" s="7">
        <f t="shared" ref="D85:D90" si="43">(F85-E85)/G85*H85</f>
        <v>5.4339166666666667</v>
      </c>
      <c r="E85" s="11">
        <v>8.5999999999999993E-2</v>
      </c>
      <c r="F85" s="11">
        <v>0.28299999999999997</v>
      </c>
      <c r="G85" s="11">
        <v>7.2</v>
      </c>
      <c r="H85" s="11">
        <f t="shared" ref="H85:H90" si="44">60000/10000*33.1</f>
        <v>198.60000000000002</v>
      </c>
      <c r="I85" s="1"/>
      <c r="J85" s="1"/>
      <c r="K85" s="1"/>
      <c r="L85" s="1"/>
      <c r="M85" s="1"/>
      <c r="N85" s="1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x14ac:dyDescent="0.35">
      <c r="A86" s="1"/>
      <c r="B86" s="25"/>
      <c r="C86" s="16">
        <f t="shared" si="42"/>
        <v>-0.4</v>
      </c>
      <c r="D86" s="7">
        <f t="shared" si="43"/>
        <v>15.509714285714287</v>
      </c>
      <c r="E86" s="11">
        <v>0.15</v>
      </c>
      <c r="F86" s="11">
        <v>0.314</v>
      </c>
      <c r="G86" s="11">
        <v>2.1</v>
      </c>
      <c r="H86" s="11">
        <f t="shared" si="44"/>
        <v>198.60000000000002</v>
      </c>
      <c r="I86" s="1"/>
      <c r="J86" s="1"/>
      <c r="K86" s="1"/>
      <c r="L86" s="1"/>
      <c r="M86" s="1"/>
      <c r="N86" s="1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x14ac:dyDescent="0.35">
      <c r="A87" s="1"/>
      <c r="B87" s="25"/>
      <c r="C87" s="16">
        <f t="shared" si="42"/>
        <v>-0.6</v>
      </c>
      <c r="D87" s="7">
        <f t="shared" si="43"/>
        <v>24.734727272727277</v>
      </c>
      <c r="E87" s="11">
        <v>0.17499999999999999</v>
      </c>
      <c r="F87" s="11">
        <v>0.312</v>
      </c>
      <c r="G87" s="11">
        <v>1.1000000000000001</v>
      </c>
      <c r="H87" s="11">
        <f t="shared" si="44"/>
        <v>198.60000000000002</v>
      </c>
      <c r="I87" s="1"/>
      <c r="J87" s="1"/>
      <c r="K87" s="1"/>
      <c r="L87" s="1"/>
      <c r="M87" s="1"/>
      <c r="N87" s="1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x14ac:dyDescent="0.35">
      <c r="A88" s="1"/>
      <c r="B88" s="25"/>
      <c r="C88" s="16">
        <f t="shared" si="42"/>
        <v>-0.7</v>
      </c>
      <c r="D88" s="7">
        <f t="shared" si="43"/>
        <v>29.469677419354841</v>
      </c>
      <c r="E88" s="11">
        <v>0.17599999999999999</v>
      </c>
      <c r="F88" s="11">
        <v>0.36</v>
      </c>
      <c r="G88" s="11">
        <v>1.24</v>
      </c>
      <c r="H88" s="11">
        <f t="shared" si="44"/>
        <v>198.60000000000002</v>
      </c>
      <c r="I88" s="1"/>
      <c r="J88" s="1"/>
      <c r="K88" s="1"/>
      <c r="L88" s="1"/>
      <c r="M88" s="1"/>
      <c r="N88" s="1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x14ac:dyDescent="0.35">
      <c r="A89" s="1"/>
      <c r="B89" s="25"/>
      <c r="C89" s="16">
        <f t="shared" si="42"/>
        <v>-0.8</v>
      </c>
      <c r="D89" s="7">
        <f t="shared" si="43"/>
        <v>33.894400000000012</v>
      </c>
      <c r="E89" s="11">
        <v>0.20499999999999999</v>
      </c>
      <c r="F89" s="11">
        <v>0.33300000000000002</v>
      </c>
      <c r="G89" s="11">
        <v>0.75</v>
      </c>
      <c r="H89" s="11">
        <f t="shared" si="44"/>
        <v>198.60000000000002</v>
      </c>
      <c r="I89" s="1"/>
      <c r="J89" s="1"/>
      <c r="K89" s="1"/>
      <c r="L89" s="1"/>
      <c r="M89" s="1"/>
      <c r="N89" s="1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x14ac:dyDescent="0.35">
      <c r="A90" s="1"/>
      <c r="B90" s="20"/>
      <c r="C90" s="16">
        <f t="shared" si="42"/>
        <v>-1</v>
      </c>
      <c r="D90" s="7">
        <f t="shared" si="43"/>
        <v>38.497846153846154</v>
      </c>
      <c r="E90" s="11">
        <v>0.254</v>
      </c>
      <c r="F90" s="11">
        <v>0.38</v>
      </c>
      <c r="G90" s="11">
        <v>0.65</v>
      </c>
      <c r="H90" s="11">
        <f t="shared" si="44"/>
        <v>198.60000000000002</v>
      </c>
      <c r="I90" s="1"/>
      <c r="J90" s="1"/>
      <c r="K90" s="1"/>
      <c r="L90" s="1"/>
      <c r="M90" s="1"/>
      <c r="N90" s="1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x14ac:dyDescent="0.35">
      <c r="A91" s="1"/>
      <c r="B91" s="5"/>
      <c r="C91" s="16"/>
      <c r="D91" s="7"/>
      <c r="E91" s="11"/>
      <c r="F91" s="11"/>
      <c r="G91" s="11"/>
      <c r="H91" s="11"/>
      <c r="I91" s="1"/>
      <c r="J91" s="1"/>
      <c r="K91" s="1"/>
      <c r="L91" s="1"/>
      <c r="M91" s="1"/>
      <c r="N91" s="1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x14ac:dyDescent="0.35">
      <c r="A92" s="1"/>
      <c r="B92" s="19">
        <v>150</v>
      </c>
      <c r="C92" s="16">
        <f t="shared" ref="C92:C97" si="45">-C41</f>
        <v>-0.2</v>
      </c>
      <c r="D92" s="7">
        <f t="shared" ref="D92:D97" si="46">(F92-E92)/G92*H92</f>
        <v>5.8570169491525421</v>
      </c>
      <c r="E92" s="11">
        <v>8.3000000000000004E-2</v>
      </c>
      <c r="F92" s="11">
        <v>0.25700000000000001</v>
      </c>
      <c r="G92" s="11">
        <v>5.9</v>
      </c>
      <c r="H92" s="11">
        <f t="shared" ref="H92:H97" si="47">60000/10000*33.1</f>
        <v>198.60000000000002</v>
      </c>
      <c r="I92" s="1"/>
      <c r="J92" s="1"/>
      <c r="K92" s="1"/>
      <c r="L92" s="1"/>
      <c r="M92" s="1"/>
      <c r="N92" s="1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x14ac:dyDescent="0.35">
      <c r="A93" s="1"/>
      <c r="B93" s="25"/>
      <c r="C93" s="16">
        <f t="shared" si="45"/>
        <v>-0.4</v>
      </c>
      <c r="D93" s="7">
        <f t="shared" si="46"/>
        <v>18.157714285714288</v>
      </c>
      <c r="E93" s="11">
        <v>5.7000000000000002E-2</v>
      </c>
      <c r="F93" s="11">
        <v>0.377</v>
      </c>
      <c r="G93" s="11">
        <v>3.5</v>
      </c>
      <c r="H93" s="11">
        <f t="shared" si="47"/>
        <v>198.60000000000002</v>
      </c>
      <c r="I93" s="1"/>
      <c r="J93" s="1"/>
      <c r="K93" s="1"/>
      <c r="L93" s="1"/>
      <c r="M93" s="1"/>
      <c r="N93" s="1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x14ac:dyDescent="0.35">
      <c r="A94" s="1"/>
      <c r="B94" s="25"/>
      <c r="C94" s="16">
        <f t="shared" si="45"/>
        <v>-0.6</v>
      </c>
      <c r="D94" s="7">
        <f t="shared" si="46"/>
        <v>27.651230769230775</v>
      </c>
      <c r="E94" s="11">
        <v>0.215</v>
      </c>
      <c r="F94" s="11">
        <v>0.39600000000000002</v>
      </c>
      <c r="G94" s="11">
        <v>1.3</v>
      </c>
      <c r="H94" s="11">
        <f t="shared" si="47"/>
        <v>198.60000000000002</v>
      </c>
      <c r="I94" s="1"/>
      <c r="J94" s="1"/>
      <c r="K94" s="1"/>
      <c r="L94" s="1"/>
      <c r="M94" s="1"/>
      <c r="N94" s="1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x14ac:dyDescent="0.35">
      <c r="A95" s="1"/>
      <c r="B95" s="25"/>
      <c r="C95" s="16">
        <f t="shared" si="45"/>
        <v>-0.7</v>
      </c>
      <c r="D95" s="7">
        <f t="shared" si="46"/>
        <v>34.187571428571438</v>
      </c>
      <c r="E95" s="11">
        <v>9.7000000000000003E-2</v>
      </c>
      <c r="F95" s="11">
        <v>0.33800000000000002</v>
      </c>
      <c r="G95" s="11">
        <v>1.4</v>
      </c>
      <c r="H95" s="11">
        <f t="shared" si="47"/>
        <v>198.60000000000002</v>
      </c>
      <c r="I95" s="1"/>
      <c r="J95" s="1"/>
      <c r="K95" s="1"/>
      <c r="L95" s="1"/>
      <c r="M95" s="1"/>
      <c r="N95" s="1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x14ac:dyDescent="0.35">
      <c r="A96" s="1"/>
      <c r="B96" s="25"/>
      <c r="C96" s="16">
        <f t="shared" si="45"/>
        <v>-0.8</v>
      </c>
      <c r="D96" s="7">
        <f t="shared" si="46"/>
        <v>38.509024390243901</v>
      </c>
      <c r="E96" s="11">
        <v>0.20200000000000001</v>
      </c>
      <c r="F96" s="11">
        <v>0.36099999999999999</v>
      </c>
      <c r="G96" s="11">
        <v>0.82</v>
      </c>
      <c r="H96" s="11">
        <f t="shared" si="47"/>
        <v>198.60000000000002</v>
      </c>
      <c r="I96" s="1"/>
      <c r="J96" s="1"/>
      <c r="K96" s="1"/>
      <c r="L96" s="1"/>
      <c r="M96" s="1"/>
      <c r="N96" s="1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x14ac:dyDescent="0.35">
      <c r="A97" s="1"/>
      <c r="B97" s="20"/>
      <c r="C97" s="16">
        <f t="shared" si="45"/>
        <v>-1</v>
      </c>
      <c r="D97" s="7">
        <f t="shared" si="46"/>
        <v>37.285548387096775</v>
      </c>
      <c r="E97" s="11">
        <v>6.2E-2</v>
      </c>
      <c r="F97" s="11">
        <v>0.35299999999999998</v>
      </c>
      <c r="G97" s="11">
        <v>1.55</v>
      </c>
      <c r="H97" s="11">
        <f t="shared" si="47"/>
        <v>198.60000000000002</v>
      </c>
      <c r="I97" s="1"/>
      <c r="J97" s="1"/>
      <c r="K97" s="1"/>
      <c r="L97" s="1"/>
      <c r="M97" s="1"/>
      <c r="N97" s="1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1:38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1:38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5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1:38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5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1:38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5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1:38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5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1:38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5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1:38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5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1:38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5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1:38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5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1:38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5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1:38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5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1:38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5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1:38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5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1:38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1:38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1:38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1:38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1:38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1:38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1:38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1:38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</row>
    <row r="1019" spans="1:38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</row>
    <row r="1020" spans="1:38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1:38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</row>
    <row r="1022" spans="1:38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</row>
    <row r="1023" spans="1:38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</row>
    <row r="1024" spans="1:38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</row>
    <row r="1025" spans="1:38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</row>
    <row r="1026" spans="1:38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</row>
    <row r="1027" spans="1:38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</row>
    <row r="1028" spans="1:38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</row>
    <row r="1029" spans="1:38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</row>
    <row r="1030" spans="1:38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</row>
    <row r="1031" spans="1:38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</row>
    <row r="1032" spans="1:38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</row>
    <row r="1033" spans="1:38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</row>
    <row r="1034" spans="1:38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</row>
    <row r="1035" spans="1:38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</row>
    <row r="1036" spans="1:38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</row>
    <row r="1037" spans="1:38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</row>
    <row r="1038" spans="1:38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</row>
    <row r="1039" spans="1:38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</row>
    <row r="1040" spans="1:38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</row>
    <row r="1041" spans="1:38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</row>
    <row r="1042" spans="1:38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</row>
    <row r="1043" spans="1:38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</row>
    <row r="1044" spans="1:38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</row>
    <row r="1045" spans="1:38" x14ac:dyDescent="0.35">
      <c r="A1045" s="1"/>
      <c r="B1045" s="1"/>
      <c r="C1045" s="1"/>
      <c r="D1045" s="1"/>
      <c r="E1045" s="1"/>
      <c r="F1045" s="1"/>
      <c r="G1045" s="1"/>
      <c r="H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</row>
    <row r="1046" spans="1:38" x14ac:dyDescent="0.35">
      <c r="A1046" s="1"/>
      <c r="B1046" s="1"/>
      <c r="C1046" s="1"/>
      <c r="D1046" s="1"/>
      <c r="E1046" s="1"/>
      <c r="F1046" s="1"/>
      <c r="G1046" s="1"/>
      <c r="H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</row>
    <row r="1047" spans="1:38" x14ac:dyDescent="0.35">
      <c r="A1047" s="1"/>
      <c r="B1047" s="1"/>
      <c r="C1047" s="1"/>
      <c r="D1047" s="1"/>
      <c r="E1047" s="1"/>
      <c r="F1047" s="1"/>
      <c r="G1047" s="1"/>
      <c r="H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</row>
    <row r="1048" spans="1:38" x14ac:dyDescent="0.35">
      <c r="A1048" s="1"/>
      <c r="B1048" s="1"/>
      <c r="C1048" s="1"/>
      <c r="D1048" s="1"/>
      <c r="E1048" s="1"/>
      <c r="F1048" s="1"/>
      <c r="G1048" s="1"/>
      <c r="H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</row>
    <row r="1049" spans="1:38" x14ac:dyDescent="0.35">
      <c r="A1049" s="1"/>
      <c r="B1049" s="1"/>
      <c r="C1049" s="1"/>
      <c r="D1049" s="1"/>
      <c r="E1049" s="1"/>
      <c r="F1049" s="1"/>
      <c r="G1049" s="1"/>
      <c r="H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</row>
    <row r="1050" spans="1:38" x14ac:dyDescent="0.35">
      <c r="A1050" s="1"/>
      <c r="B1050" s="1"/>
      <c r="C1050" s="1"/>
      <c r="D1050" s="1"/>
      <c r="E1050" s="1"/>
      <c r="F1050" s="1"/>
      <c r="G1050" s="1"/>
      <c r="H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</row>
    <row r="1051" spans="1:38" x14ac:dyDescent="0.35">
      <c r="A1051" s="1"/>
      <c r="B1051" s="1"/>
      <c r="C1051" s="1"/>
      <c r="D1051" s="1"/>
      <c r="E1051" s="1"/>
      <c r="F1051" s="1"/>
      <c r="G1051" s="1"/>
      <c r="H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</row>
    <row r="1052" spans="1:38" x14ac:dyDescent="0.35">
      <c r="A1052" s="1"/>
      <c r="B1052" s="1"/>
      <c r="C1052" s="1"/>
      <c r="D1052" s="1"/>
      <c r="E1052" s="1"/>
      <c r="F1052" s="1"/>
      <c r="G1052" s="1"/>
      <c r="H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</row>
    <row r="1053" spans="1:38" x14ac:dyDescent="0.35">
      <c r="A1053" s="1"/>
      <c r="B1053" s="1"/>
      <c r="C1053" s="1"/>
      <c r="D1053" s="1"/>
      <c r="E1053" s="1"/>
      <c r="F1053" s="1"/>
      <c r="G1053" s="1"/>
      <c r="H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</row>
    <row r="1054" spans="1:38" x14ac:dyDescent="0.35">
      <c r="A1054" s="1"/>
      <c r="B1054" s="1"/>
      <c r="C1054" s="1"/>
      <c r="D1054" s="1"/>
      <c r="E1054" s="1"/>
      <c r="F1054" s="1"/>
      <c r="G1054" s="1"/>
      <c r="H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</row>
    <row r="1055" spans="1:38" x14ac:dyDescent="0.35">
      <c r="A1055" s="1"/>
      <c r="B1055" s="1"/>
      <c r="C1055" s="1"/>
      <c r="D1055" s="1"/>
      <c r="E1055" s="1"/>
      <c r="F1055" s="1"/>
      <c r="G1055" s="1"/>
      <c r="H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</row>
    <row r="1056" spans="1:38" x14ac:dyDescent="0.35">
      <c r="A1056" s="1"/>
      <c r="B1056" s="1"/>
      <c r="C1056" s="1"/>
      <c r="D1056" s="1"/>
      <c r="E1056" s="1"/>
      <c r="F1056" s="1"/>
      <c r="G1056" s="1"/>
      <c r="H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</row>
    <row r="1057" spans="1:38" x14ac:dyDescent="0.35">
      <c r="A1057" s="1"/>
      <c r="B1057" s="1"/>
      <c r="C1057" s="1"/>
      <c r="D1057" s="1"/>
      <c r="E1057" s="1"/>
      <c r="F1057" s="1"/>
      <c r="G1057" s="1"/>
      <c r="H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</row>
    <row r="1058" spans="1:38" x14ac:dyDescent="0.35">
      <c r="A1058" s="1"/>
      <c r="B1058" s="1"/>
      <c r="C1058" s="1"/>
      <c r="D1058" s="1"/>
      <c r="E1058" s="1"/>
      <c r="F1058" s="1"/>
      <c r="G1058" s="1"/>
      <c r="H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</row>
    <row r="1059" spans="1:38" x14ac:dyDescent="0.35">
      <c r="A1059" s="1"/>
      <c r="B1059" s="1"/>
      <c r="C1059" s="1"/>
      <c r="D1059" s="1"/>
      <c r="E1059" s="1"/>
      <c r="F1059" s="1"/>
      <c r="G1059" s="1"/>
      <c r="H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</row>
  </sheetData>
  <mergeCells count="26">
    <mergeCell ref="B71:B76"/>
    <mergeCell ref="B78:B83"/>
    <mergeCell ref="B85:B90"/>
    <mergeCell ref="B92:B97"/>
    <mergeCell ref="B20:B25"/>
    <mergeCell ref="B27:B32"/>
    <mergeCell ref="B34:B39"/>
    <mergeCell ref="B41:B46"/>
    <mergeCell ref="B53:B54"/>
    <mergeCell ref="G53:H53"/>
    <mergeCell ref="I53:J53"/>
    <mergeCell ref="K53:L53"/>
    <mergeCell ref="S54:U54"/>
    <mergeCell ref="B64:B69"/>
    <mergeCell ref="C53:D53"/>
    <mergeCell ref="E53:F53"/>
    <mergeCell ref="S3:U3"/>
    <mergeCell ref="R13:S13"/>
    <mergeCell ref="U13:V13"/>
    <mergeCell ref="B2:B3"/>
    <mergeCell ref="C2:D2"/>
    <mergeCell ref="E2:F2"/>
    <mergeCell ref="G2:H2"/>
    <mergeCell ref="I2:J2"/>
    <mergeCell ref="K2:L2"/>
    <mergeCell ref="B13:B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3:X46"/>
  <sheetViews>
    <sheetView workbookViewId="0"/>
  </sheetViews>
  <sheetFormatPr defaultColWidth="12.59765625" defaultRowHeight="15.75" customHeight="1" x14ac:dyDescent="0.35"/>
  <sheetData>
    <row r="3" spans="1:10" x14ac:dyDescent="0.35">
      <c r="A3" s="19" t="s">
        <v>0</v>
      </c>
      <c r="B3" s="21">
        <v>100</v>
      </c>
      <c r="C3" s="27"/>
      <c r="D3" s="22"/>
      <c r="E3" s="21">
        <v>110</v>
      </c>
      <c r="F3" s="27"/>
      <c r="G3" s="22"/>
      <c r="H3" s="21">
        <v>120</v>
      </c>
      <c r="I3" s="27"/>
      <c r="J3" s="22"/>
    </row>
    <row r="4" spans="1:10" x14ac:dyDescent="0.35">
      <c r="A4" s="20"/>
      <c r="B4" s="3" t="s">
        <v>22</v>
      </c>
      <c r="C4" s="3" t="s">
        <v>35</v>
      </c>
      <c r="D4" s="3" t="s">
        <v>36</v>
      </c>
      <c r="E4" s="3" t="s">
        <v>22</v>
      </c>
      <c r="F4" s="3" t="s">
        <v>35</v>
      </c>
      <c r="G4" s="3" t="s">
        <v>36</v>
      </c>
      <c r="H4" s="3" t="s">
        <v>22</v>
      </c>
      <c r="I4" s="3" t="s">
        <v>35</v>
      </c>
      <c r="J4" s="3" t="s">
        <v>36</v>
      </c>
    </row>
    <row r="5" spans="1:10" x14ac:dyDescent="0.35">
      <c r="A5" s="5">
        <v>0.25</v>
      </c>
      <c r="B5" s="6">
        <f>(G31+H31)/2</f>
        <v>73.349999999999994</v>
      </c>
      <c r="C5" s="7">
        <f t="shared" ref="C5:C20" si="0">C31</f>
        <v>0.17184931506849316</v>
      </c>
      <c r="D5" s="6">
        <v>0</v>
      </c>
      <c r="E5" s="6">
        <v>12.05</v>
      </c>
      <c r="F5" s="7">
        <f t="shared" ref="F5:F20" si="1">K31</f>
        <v>-9.9450917647058823</v>
      </c>
      <c r="G5" s="6"/>
      <c r="H5" s="6">
        <v>12.05</v>
      </c>
      <c r="I5" s="7">
        <f t="shared" ref="I5:I20" si="2">S31</f>
        <v>-9.9450917647058823</v>
      </c>
      <c r="J5" s="6"/>
    </row>
    <row r="6" spans="1:10" x14ac:dyDescent="0.35">
      <c r="A6" s="5">
        <v>0.3</v>
      </c>
      <c r="B6" s="6">
        <v>12.05</v>
      </c>
      <c r="C6" s="7">
        <f t="shared" si="0"/>
        <v>0.55839252336448597</v>
      </c>
      <c r="D6" s="6" t="s">
        <v>37</v>
      </c>
      <c r="E6" s="6">
        <v>12.05</v>
      </c>
      <c r="F6" s="7" t="e">
        <f t="shared" si="1"/>
        <v>#DIV/0!</v>
      </c>
      <c r="G6" s="6"/>
      <c r="H6" s="6">
        <v>12.05</v>
      </c>
      <c r="I6" s="7" t="e">
        <f t="shared" si="2"/>
        <v>#DIV/0!</v>
      </c>
      <c r="J6" s="6"/>
    </row>
    <row r="7" spans="1:10" x14ac:dyDescent="0.35">
      <c r="A7" s="5">
        <v>0.35</v>
      </c>
      <c r="B7" s="6">
        <v>12.05</v>
      </c>
      <c r="C7" s="7" t="e">
        <f t="shared" si="0"/>
        <v>#DIV/0!</v>
      </c>
      <c r="D7" s="6"/>
      <c r="E7" s="6">
        <v>12.05</v>
      </c>
      <c r="F7" s="7" t="e">
        <f t="shared" si="1"/>
        <v>#DIV/0!</v>
      </c>
      <c r="G7" s="6"/>
      <c r="H7" s="6">
        <v>12.05</v>
      </c>
      <c r="I7" s="7" t="e">
        <f t="shared" si="2"/>
        <v>#DIV/0!</v>
      </c>
      <c r="J7" s="6"/>
    </row>
    <row r="8" spans="1:10" x14ac:dyDescent="0.35">
      <c r="A8" s="5">
        <v>0.4</v>
      </c>
      <c r="B8" s="6">
        <v>12.05</v>
      </c>
      <c r="C8" s="7" t="e">
        <f t="shared" si="0"/>
        <v>#DIV/0!</v>
      </c>
      <c r="D8" s="6"/>
      <c r="E8" s="6">
        <v>12.05</v>
      </c>
      <c r="F8" s="7" t="e">
        <f t="shared" si="1"/>
        <v>#DIV/0!</v>
      </c>
      <c r="G8" s="6"/>
      <c r="H8" s="6">
        <v>12.05</v>
      </c>
      <c r="I8" s="7" t="e">
        <f t="shared" si="2"/>
        <v>#DIV/0!</v>
      </c>
      <c r="J8" s="6"/>
    </row>
    <row r="9" spans="1:10" x14ac:dyDescent="0.35">
      <c r="A9" s="5">
        <v>0.45</v>
      </c>
      <c r="B9" s="6">
        <v>12.05</v>
      </c>
      <c r="C9" s="7" t="e">
        <f t="shared" si="0"/>
        <v>#DIV/0!</v>
      </c>
      <c r="D9" s="6"/>
      <c r="E9" s="6">
        <v>12.05</v>
      </c>
      <c r="F9" s="7" t="e">
        <f t="shared" si="1"/>
        <v>#DIV/0!</v>
      </c>
      <c r="G9" s="6"/>
      <c r="H9" s="6">
        <v>12.05</v>
      </c>
      <c r="I9" s="7" t="e">
        <f t="shared" si="2"/>
        <v>#DIV/0!</v>
      </c>
      <c r="J9" s="6"/>
    </row>
    <row r="10" spans="1:10" x14ac:dyDescent="0.35">
      <c r="A10" s="5">
        <v>0.5</v>
      </c>
      <c r="B10" s="6">
        <v>12.05</v>
      </c>
      <c r="C10" s="7" t="e">
        <f t="shared" si="0"/>
        <v>#DIV/0!</v>
      </c>
      <c r="D10" s="6"/>
      <c r="E10" s="6">
        <v>12.05</v>
      </c>
      <c r="F10" s="7" t="e">
        <f t="shared" si="1"/>
        <v>#DIV/0!</v>
      </c>
      <c r="G10" s="6"/>
      <c r="H10" s="6">
        <v>12.05</v>
      </c>
      <c r="I10" s="7" t="e">
        <f t="shared" si="2"/>
        <v>#DIV/0!</v>
      </c>
      <c r="J10" s="6"/>
    </row>
    <row r="11" spans="1:10" x14ac:dyDescent="0.35">
      <c r="A11" s="5">
        <v>0.55000000000000004</v>
      </c>
      <c r="B11" s="6">
        <v>12.05</v>
      </c>
      <c r="C11" s="7" t="e">
        <f t="shared" si="0"/>
        <v>#DIV/0!</v>
      </c>
      <c r="D11" s="6"/>
      <c r="E11" s="6">
        <v>12.05</v>
      </c>
      <c r="F11" s="7" t="e">
        <f t="shared" si="1"/>
        <v>#DIV/0!</v>
      </c>
      <c r="G11" s="6"/>
      <c r="H11" s="6">
        <v>12.05</v>
      </c>
      <c r="I11" s="7" t="e">
        <f t="shared" si="2"/>
        <v>#DIV/0!</v>
      </c>
      <c r="J11" s="6"/>
    </row>
    <row r="12" spans="1:10" x14ac:dyDescent="0.35">
      <c r="A12" s="5">
        <v>0.6</v>
      </c>
      <c r="B12" s="6">
        <v>12.05</v>
      </c>
      <c r="C12" s="7" t="e">
        <f t="shared" si="0"/>
        <v>#DIV/0!</v>
      </c>
      <c r="D12" s="6"/>
      <c r="E12" s="6">
        <v>12.05</v>
      </c>
      <c r="F12" s="7" t="e">
        <f t="shared" si="1"/>
        <v>#DIV/0!</v>
      </c>
      <c r="G12" s="6"/>
      <c r="H12" s="6">
        <v>12.05</v>
      </c>
      <c r="I12" s="7" t="e">
        <f t="shared" si="2"/>
        <v>#DIV/0!</v>
      </c>
      <c r="J12" s="6"/>
    </row>
    <row r="13" spans="1:10" x14ac:dyDescent="0.35">
      <c r="A13" s="5">
        <v>0.65</v>
      </c>
      <c r="B13" s="6">
        <v>12.05</v>
      </c>
      <c r="C13" s="7" t="e">
        <f t="shared" si="0"/>
        <v>#DIV/0!</v>
      </c>
      <c r="D13" s="6"/>
      <c r="E13" s="6">
        <v>12.05</v>
      </c>
      <c r="F13" s="7" t="e">
        <f t="shared" si="1"/>
        <v>#DIV/0!</v>
      </c>
      <c r="G13" s="6"/>
      <c r="H13" s="6">
        <v>12.05</v>
      </c>
      <c r="I13" s="7" t="e">
        <f t="shared" si="2"/>
        <v>#DIV/0!</v>
      </c>
      <c r="J13" s="6"/>
    </row>
    <row r="14" spans="1:10" x14ac:dyDescent="0.35">
      <c r="A14" s="5">
        <v>0.7</v>
      </c>
      <c r="B14" s="6">
        <v>12.05</v>
      </c>
      <c r="C14" s="7" t="e">
        <f t="shared" si="0"/>
        <v>#DIV/0!</v>
      </c>
      <c r="D14" s="6"/>
      <c r="E14" s="6">
        <v>12.05</v>
      </c>
      <c r="F14" s="7" t="e">
        <f t="shared" si="1"/>
        <v>#DIV/0!</v>
      </c>
      <c r="G14" s="6"/>
      <c r="H14" s="6">
        <v>12.05</v>
      </c>
      <c r="I14" s="7" t="e">
        <f t="shared" si="2"/>
        <v>#DIV/0!</v>
      </c>
      <c r="J14" s="6"/>
    </row>
    <row r="15" spans="1:10" x14ac:dyDescent="0.35">
      <c r="A15" s="5">
        <v>0.75</v>
      </c>
      <c r="B15" s="6">
        <v>12.05</v>
      </c>
      <c r="C15" s="7">
        <f t="shared" si="0"/>
        <v>-14.074805194805192</v>
      </c>
      <c r="D15" s="6"/>
      <c r="E15" s="6">
        <v>12.05</v>
      </c>
      <c r="F15" s="7">
        <f t="shared" si="1"/>
        <v>-14.074805194805192</v>
      </c>
      <c r="G15" s="6"/>
      <c r="H15" s="6">
        <v>12.05</v>
      </c>
      <c r="I15" s="7">
        <f t="shared" si="2"/>
        <v>-14.074805194805192</v>
      </c>
      <c r="J15" s="6"/>
    </row>
    <row r="16" spans="1:10" x14ac:dyDescent="0.35">
      <c r="A16" s="5">
        <v>0.8</v>
      </c>
      <c r="B16" s="6">
        <v>12.05</v>
      </c>
      <c r="C16" s="7">
        <f t="shared" si="0"/>
        <v>-16.963199999999997</v>
      </c>
      <c r="D16" s="6"/>
      <c r="E16" s="6">
        <v>12.05</v>
      </c>
      <c r="F16" s="7">
        <f t="shared" si="1"/>
        <v>-16.963199999999997</v>
      </c>
      <c r="G16" s="6"/>
      <c r="H16" s="6">
        <v>12.05</v>
      </c>
      <c r="I16" s="7">
        <f t="shared" si="2"/>
        <v>-16.963199999999997</v>
      </c>
      <c r="J16" s="6"/>
    </row>
    <row r="17" spans="1:24" x14ac:dyDescent="0.35">
      <c r="A17" s="5">
        <v>0.85</v>
      </c>
      <c r="B17" s="6">
        <v>12.05</v>
      </c>
      <c r="C17" s="7" t="e">
        <f t="shared" si="0"/>
        <v>#DIV/0!</v>
      </c>
      <c r="D17" s="6"/>
      <c r="E17" s="6">
        <v>12.05</v>
      </c>
      <c r="F17" s="7" t="e">
        <f t="shared" si="1"/>
        <v>#DIV/0!</v>
      </c>
      <c r="G17" s="6"/>
      <c r="H17" s="6">
        <v>12.05</v>
      </c>
      <c r="I17" s="7" t="e">
        <f t="shared" si="2"/>
        <v>#DIV/0!</v>
      </c>
      <c r="J17" s="6"/>
    </row>
    <row r="18" spans="1:24" x14ac:dyDescent="0.35">
      <c r="A18" s="5">
        <v>0.9</v>
      </c>
      <c r="B18" s="6">
        <v>12.05</v>
      </c>
      <c r="C18" s="7" t="e">
        <f t="shared" si="0"/>
        <v>#DIV/0!</v>
      </c>
      <c r="D18" s="6"/>
      <c r="E18" s="6">
        <v>12.05</v>
      </c>
      <c r="F18" s="7" t="e">
        <f t="shared" si="1"/>
        <v>#DIV/0!</v>
      </c>
      <c r="G18" s="6"/>
      <c r="H18" s="6">
        <v>12.05</v>
      </c>
      <c r="I18" s="7" t="e">
        <f t="shared" si="2"/>
        <v>#DIV/0!</v>
      </c>
      <c r="J18" s="6"/>
    </row>
    <row r="19" spans="1:24" x14ac:dyDescent="0.35">
      <c r="A19" s="5">
        <v>0.95</v>
      </c>
      <c r="B19" s="6">
        <v>12.05</v>
      </c>
      <c r="C19" s="7">
        <f t="shared" si="0"/>
        <v>-17.88204</v>
      </c>
      <c r="D19" s="6"/>
      <c r="E19" s="6">
        <v>12.05</v>
      </c>
      <c r="F19" s="7">
        <f t="shared" si="1"/>
        <v>-17.88204</v>
      </c>
      <c r="G19" s="6"/>
      <c r="H19" s="6">
        <v>12.05</v>
      </c>
      <c r="I19" s="7">
        <f t="shared" si="2"/>
        <v>-17.88204</v>
      </c>
      <c r="J19" s="6"/>
    </row>
    <row r="20" spans="1:24" x14ac:dyDescent="0.35">
      <c r="A20" s="5">
        <v>1</v>
      </c>
      <c r="B20" s="6">
        <v>12.05</v>
      </c>
      <c r="C20" s="7">
        <f t="shared" si="0"/>
        <v>-20.527930434782611</v>
      </c>
      <c r="D20" s="6"/>
      <c r="E20" s="6">
        <v>12.05</v>
      </c>
      <c r="F20" s="7">
        <f t="shared" si="1"/>
        <v>-20.527930434782611</v>
      </c>
      <c r="G20" s="6"/>
      <c r="H20" s="6">
        <v>12.05</v>
      </c>
      <c r="I20" s="7">
        <f t="shared" si="2"/>
        <v>-20.527930434782611</v>
      </c>
      <c r="J20" s="6"/>
    </row>
    <row r="21" spans="1:24" x14ac:dyDescent="0.35">
      <c r="A21" s="17"/>
      <c r="B21" s="18"/>
      <c r="C21" s="18"/>
      <c r="D21" s="18"/>
      <c r="E21" s="18"/>
      <c r="F21" s="18"/>
      <c r="G21" s="18"/>
      <c r="H21" s="18"/>
    </row>
    <row r="22" spans="1:24" x14ac:dyDescent="0.35">
      <c r="A22" s="17"/>
      <c r="B22" s="18"/>
      <c r="C22" s="18"/>
      <c r="D22" s="18"/>
      <c r="E22" s="18"/>
      <c r="F22" s="18"/>
      <c r="G22" s="18"/>
      <c r="H22" s="18"/>
    </row>
    <row r="23" spans="1:24" x14ac:dyDescent="0.35">
      <c r="A23" s="17"/>
      <c r="B23" s="18"/>
      <c r="C23" s="18"/>
      <c r="D23" s="18"/>
      <c r="E23" s="18"/>
      <c r="F23" s="18"/>
      <c r="G23" s="18"/>
      <c r="H23" s="18"/>
    </row>
    <row r="24" spans="1:24" x14ac:dyDescent="0.35">
      <c r="A24" s="17"/>
      <c r="B24" s="18"/>
      <c r="C24" s="18"/>
      <c r="D24" s="18"/>
      <c r="E24" s="18"/>
      <c r="F24" s="18"/>
      <c r="G24" s="18"/>
      <c r="H24" s="18"/>
    </row>
    <row r="25" spans="1:24" x14ac:dyDescent="0.35">
      <c r="A25" s="17"/>
      <c r="B25" s="18"/>
      <c r="C25" s="18"/>
      <c r="D25" s="18"/>
      <c r="E25" s="18"/>
      <c r="F25" s="18"/>
      <c r="G25" s="18"/>
      <c r="H25" s="18"/>
    </row>
    <row r="26" spans="1:24" x14ac:dyDescent="0.35">
      <c r="A26" s="17"/>
      <c r="B26" s="18"/>
      <c r="C26" s="18"/>
      <c r="D26" s="18"/>
      <c r="E26" s="18"/>
      <c r="F26" s="18"/>
      <c r="G26" s="18"/>
      <c r="H26" s="18"/>
    </row>
    <row r="27" spans="1:24" x14ac:dyDescent="0.35">
      <c r="A27" s="17"/>
      <c r="B27" s="18"/>
      <c r="C27" s="18"/>
      <c r="D27" s="18"/>
      <c r="E27" s="18"/>
      <c r="F27" s="18"/>
      <c r="G27" s="18"/>
    </row>
    <row r="28" spans="1:24" x14ac:dyDescent="0.35">
      <c r="A28" s="17"/>
      <c r="B28" s="18"/>
      <c r="C28" s="18"/>
      <c r="D28" s="18"/>
      <c r="E28" s="18"/>
      <c r="F28" s="18"/>
      <c r="G28" s="18"/>
    </row>
    <row r="29" spans="1:24" x14ac:dyDescent="0.35">
      <c r="A29" s="17"/>
      <c r="B29" s="18"/>
      <c r="C29" s="18"/>
      <c r="D29" s="18"/>
      <c r="E29" s="18"/>
      <c r="F29" s="18"/>
      <c r="G29" s="18"/>
    </row>
    <row r="30" spans="1:24" x14ac:dyDescent="0.35">
      <c r="A30" s="5"/>
      <c r="B30" s="10" t="s">
        <v>32</v>
      </c>
      <c r="C30" s="10" t="s">
        <v>15</v>
      </c>
      <c r="D30" s="10" t="s">
        <v>16</v>
      </c>
      <c r="E30" s="10" t="s">
        <v>17</v>
      </c>
      <c r="F30" s="10" t="s">
        <v>18</v>
      </c>
      <c r="G30" s="10" t="s">
        <v>38</v>
      </c>
      <c r="H30" s="5" t="s">
        <v>39</v>
      </c>
      <c r="I30" s="5"/>
      <c r="J30" s="10" t="s">
        <v>32</v>
      </c>
      <c r="K30" s="10" t="s">
        <v>15</v>
      </c>
      <c r="L30" s="10" t="s">
        <v>16</v>
      </c>
      <c r="M30" s="10" t="s">
        <v>17</v>
      </c>
      <c r="N30" s="10" t="s">
        <v>18</v>
      </c>
      <c r="O30" s="10" t="s">
        <v>19</v>
      </c>
      <c r="P30" s="5"/>
      <c r="Q30" s="5"/>
      <c r="R30" s="10" t="s">
        <v>32</v>
      </c>
      <c r="S30" s="10" t="s">
        <v>15</v>
      </c>
      <c r="T30" s="10" t="s">
        <v>16</v>
      </c>
      <c r="U30" s="10" t="s">
        <v>17</v>
      </c>
      <c r="V30" s="10" t="s">
        <v>18</v>
      </c>
      <c r="W30" s="10" t="s">
        <v>19</v>
      </c>
      <c r="X30" s="10" t="s">
        <v>19</v>
      </c>
    </row>
    <row r="31" spans="1:24" x14ac:dyDescent="0.35">
      <c r="A31" s="19">
        <v>100</v>
      </c>
      <c r="B31" s="16">
        <v>0.25</v>
      </c>
      <c r="C31" s="7">
        <f t="shared" ref="C31:C46" si="3">(E31-D31)/F31*G31</f>
        <v>0.17184931506849316</v>
      </c>
      <c r="D31" s="11">
        <v>0.06</v>
      </c>
      <c r="E31" s="11">
        <v>0.44600000000000001</v>
      </c>
      <c r="F31" s="11">
        <v>175.2</v>
      </c>
      <c r="G31" s="6">
        <v>78</v>
      </c>
      <c r="H31" s="6">
        <v>68.7</v>
      </c>
      <c r="I31" s="19">
        <v>110</v>
      </c>
      <c r="J31" s="16">
        <v>0.25</v>
      </c>
      <c r="K31" s="7">
        <f t="shared" ref="K31:K46" si="4">(M31-L31)/N31*O31</f>
        <v>-9.9450917647058823</v>
      </c>
      <c r="L31" s="11">
        <v>0.38100000000000001</v>
      </c>
      <c r="M31" s="11">
        <v>8.2000000000000003E-2</v>
      </c>
      <c r="N31" s="11">
        <v>4.25</v>
      </c>
      <c r="O31" s="6">
        <f>60000/10000*23.56</f>
        <v>141.35999999999999</v>
      </c>
      <c r="P31" s="5"/>
      <c r="Q31" s="19">
        <v>120</v>
      </c>
      <c r="R31" s="16">
        <v>0.25</v>
      </c>
      <c r="S31" s="7">
        <f t="shared" ref="S31:S46" si="5">(U31-T31)/V31*W31</f>
        <v>-9.9450917647058823</v>
      </c>
      <c r="T31" s="11">
        <v>0.38100000000000001</v>
      </c>
      <c r="U31" s="11">
        <v>8.2000000000000003E-2</v>
      </c>
      <c r="V31" s="11">
        <v>4.25</v>
      </c>
      <c r="W31" s="6">
        <f t="shared" ref="W31:X31" si="6">60000/10000*23.56</f>
        <v>141.35999999999999</v>
      </c>
      <c r="X31" s="6">
        <f t="shared" si="6"/>
        <v>141.35999999999999</v>
      </c>
    </row>
    <row r="32" spans="1:24" x14ac:dyDescent="0.35">
      <c r="A32" s="25"/>
      <c r="B32" s="16">
        <v>0.3</v>
      </c>
      <c r="C32" s="7">
        <f t="shared" si="3"/>
        <v>0.55839252336448597</v>
      </c>
      <c r="D32" s="11">
        <v>0.06</v>
      </c>
      <c r="E32" s="11">
        <v>0.45</v>
      </c>
      <c r="F32" s="11">
        <v>53.5</v>
      </c>
      <c r="G32" s="6">
        <v>76.599999999999994</v>
      </c>
      <c r="H32" s="6">
        <v>65.900000000000006</v>
      </c>
      <c r="I32" s="25"/>
      <c r="J32" s="16">
        <v>0.3</v>
      </c>
      <c r="K32" s="7" t="e">
        <f t="shared" si="4"/>
        <v>#DIV/0!</v>
      </c>
      <c r="L32" s="11"/>
      <c r="M32" s="11"/>
      <c r="N32" s="11"/>
      <c r="O32" s="6"/>
      <c r="P32" s="5"/>
      <c r="Q32" s="25"/>
      <c r="R32" s="16">
        <v>0.3</v>
      </c>
      <c r="S32" s="7" t="e">
        <f t="shared" si="5"/>
        <v>#DIV/0!</v>
      </c>
      <c r="T32" s="11"/>
      <c r="U32" s="11"/>
      <c r="V32" s="11"/>
      <c r="W32" s="6"/>
      <c r="X32" s="6"/>
    </row>
    <row r="33" spans="1:24" x14ac:dyDescent="0.35">
      <c r="A33" s="25"/>
      <c r="B33" s="16">
        <v>0.35</v>
      </c>
      <c r="C33" s="7" t="e">
        <f t="shared" si="3"/>
        <v>#DIV/0!</v>
      </c>
      <c r="D33" s="11"/>
      <c r="E33" s="11"/>
      <c r="F33" s="11"/>
      <c r="G33" s="6"/>
      <c r="H33" s="6"/>
      <c r="I33" s="25"/>
      <c r="J33" s="16">
        <v>0.35</v>
      </c>
      <c r="K33" s="7" t="e">
        <f t="shared" si="4"/>
        <v>#DIV/0!</v>
      </c>
      <c r="L33" s="11"/>
      <c r="M33" s="11"/>
      <c r="N33" s="11"/>
      <c r="O33" s="6"/>
      <c r="P33" s="5"/>
      <c r="Q33" s="25"/>
      <c r="R33" s="16">
        <v>0.35</v>
      </c>
      <c r="S33" s="7" t="e">
        <f t="shared" si="5"/>
        <v>#DIV/0!</v>
      </c>
      <c r="T33" s="11"/>
      <c r="U33" s="11"/>
      <c r="V33" s="11"/>
      <c r="W33" s="6"/>
      <c r="X33" s="6"/>
    </row>
    <row r="34" spans="1:24" x14ac:dyDescent="0.35">
      <c r="A34" s="25"/>
      <c r="B34" s="16">
        <v>0.4</v>
      </c>
      <c r="C34" s="7" t="e">
        <f t="shared" si="3"/>
        <v>#DIV/0!</v>
      </c>
      <c r="D34" s="11"/>
      <c r="E34" s="11"/>
      <c r="F34" s="11"/>
      <c r="G34" s="6"/>
      <c r="H34" s="6"/>
      <c r="I34" s="25"/>
      <c r="J34" s="16">
        <v>0.4</v>
      </c>
      <c r="K34" s="7" t="e">
        <f t="shared" si="4"/>
        <v>#DIV/0!</v>
      </c>
      <c r="L34" s="11"/>
      <c r="M34" s="11"/>
      <c r="N34" s="11"/>
      <c r="O34" s="6"/>
      <c r="P34" s="5"/>
      <c r="Q34" s="25"/>
      <c r="R34" s="16">
        <v>0.4</v>
      </c>
      <c r="S34" s="7" t="e">
        <f t="shared" si="5"/>
        <v>#DIV/0!</v>
      </c>
      <c r="T34" s="11"/>
      <c r="U34" s="11"/>
      <c r="V34" s="11"/>
      <c r="W34" s="6"/>
      <c r="X34" s="6"/>
    </row>
    <row r="35" spans="1:24" x14ac:dyDescent="0.35">
      <c r="A35" s="25"/>
      <c r="B35" s="16">
        <v>0.45</v>
      </c>
      <c r="C35" s="7" t="e">
        <f t="shared" si="3"/>
        <v>#DIV/0!</v>
      </c>
      <c r="D35" s="11"/>
      <c r="E35" s="11"/>
      <c r="F35" s="11"/>
      <c r="G35" s="6"/>
      <c r="H35" s="6"/>
      <c r="I35" s="25"/>
      <c r="J35" s="16">
        <v>0.45</v>
      </c>
      <c r="K35" s="7" t="e">
        <f t="shared" si="4"/>
        <v>#DIV/0!</v>
      </c>
      <c r="L35" s="11"/>
      <c r="M35" s="11"/>
      <c r="N35" s="11"/>
      <c r="O35" s="6"/>
      <c r="P35" s="5"/>
      <c r="Q35" s="25"/>
      <c r="R35" s="16">
        <v>0.45</v>
      </c>
      <c r="S35" s="7" t="e">
        <f t="shared" si="5"/>
        <v>#DIV/0!</v>
      </c>
      <c r="T35" s="11"/>
      <c r="U35" s="11"/>
      <c r="V35" s="11"/>
      <c r="W35" s="6"/>
      <c r="X35" s="6"/>
    </row>
    <row r="36" spans="1:24" x14ac:dyDescent="0.35">
      <c r="A36" s="25"/>
      <c r="B36" s="16">
        <v>0.5</v>
      </c>
      <c r="C36" s="7" t="e">
        <f t="shared" si="3"/>
        <v>#DIV/0!</v>
      </c>
      <c r="D36" s="11"/>
      <c r="E36" s="11"/>
      <c r="F36" s="11"/>
      <c r="G36" s="6"/>
      <c r="H36" s="6"/>
      <c r="I36" s="25"/>
      <c r="J36" s="16">
        <v>0.5</v>
      </c>
      <c r="K36" s="7" t="e">
        <f t="shared" si="4"/>
        <v>#DIV/0!</v>
      </c>
      <c r="L36" s="11"/>
      <c r="M36" s="11"/>
      <c r="N36" s="11"/>
      <c r="O36" s="6"/>
      <c r="P36" s="5"/>
      <c r="Q36" s="25"/>
      <c r="R36" s="16">
        <v>0.5</v>
      </c>
      <c r="S36" s="7" t="e">
        <f t="shared" si="5"/>
        <v>#DIV/0!</v>
      </c>
      <c r="T36" s="11"/>
      <c r="U36" s="11"/>
      <c r="V36" s="11"/>
      <c r="W36" s="6"/>
      <c r="X36" s="6"/>
    </row>
    <row r="37" spans="1:24" x14ac:dyDescent="0.35">
      <c r="A37" s="25"/>
      <c r="B37" s="16">
        <v>0.55000000000000004</v>
      </c>
      <c r="C37" s="7" t="e">
        <f t="shared" si="3"/>
        <v>#DIV/0!</v>
      </c>
      <c r="D37" s="11"/>
      <c r="E37" s="11"/>
      <c r="F37" s="11"/>
      <c r="G37" s="6"/>
      <c r="H37" s="6"/>
      <c r="I37" s="25"/>
      <c r="J37" s="16">
        <v>0.55000000000000004</v>
      </c>
      <c r="K37" s="7" t="e">
        <f t="shared" si="4"/>
        <v>#DIV/0!</v>
      </c>
      <c r="L37" s="11"/>
      <c r="M37" s="11"/>
      <c r="N37" s="11"/>
      <c r="O37" s="6"/>
      <c r="P37" s="5"/>
      <c r="Q37" s="25"/>
      <c r="R37" s="16">
        <v>0.55000000000000004</v>
      </c>
      <c r="S37" s="7" t="e">
        <f t="shared" si="5"/>
        <v>#DIV/0!</v>
      </c>
      <c r="T37" s="11"/>
      <c r="U37" s="11"/>
      <c r="V37" s="11"/>
      <c r="W37" s="6"/>
      <c r="X37" s="6"/>
    </row>
    <row r="38" spans="1:24" x14ac:dyDescent="0.35">
      <c r="A38" s="25"/>
      <c r="B38" s="16">
        <v>0.6</v>
      </c>
      <c r="C38" s="7" t="e">
        <f t="shared" si="3"/>
        <v>#DIV/0!</v>
      </c>
      <c r="D38" s="11"/>
      <c r="E38" s="11"/>
      <c r="F38" s="11"/>
      <c r="G38" s="6"/>
      <c r="H38" s="6"/>
      <c r="I38" s="25"/>
      <c r="J38" s="16">
        <v>0.6</v>
      </c>
      <c r="K38" s="7" t="e">
        <f t="shared" si="4"/>
        <v>#DIV/0!</v>
      </c>
      <c r="L38" s="11"/>
      <c r="M38" s="11"/>
      <c r="N38" s="11"/>
      <c r="O38" s="6"/>
      <c r="P38" s="5"/>
      <c r="Q38" s="25"/>
      <c r="R38" s="16">
        <v>0.6</v>
      </c>
      <c r="S38" s="7" t="e">
        <f t="shared" si="5"/>
        <v>#DIV/0!</v>
      </c>
      <c r="T38" s="11"/>
      <c r="U38" s="11"/>
      <c r="V38" s="11"/>
      <c r="W38" s="6"/>
      <c r="X38" s="6"/>
    </row>
    <row r="39" spans="1:24" x14ac:dyDescent="0.35">
      <c r="A39" s="25"/>
      <c r="B39" s="16">
        <v>0.65</v>
      </c>
      <c r="C39" s="7" t="e">
        <f t="shared" si="3"/>
        <v>#DIV/0!</v>
      </c>
      <c r="D39" s="11"/>
      <c r="E39" s="11"/>
      <c r="F39" s="11"/>
      <c r="G39" s="6"/>
      <c r="H39" s="6"/>
      <c r="I39" s="25"/>
      <c r="J39" s="16">
        <v>0.65</v>
      </c>
      <c r="K39" s="7" t="e">
        <f t="shared" si="4"/>
        <v>#DIV/0!</v>
      </c>
      <c r="L39" s="11"/>
      <c r="M39" s="11"/>
      <c r="N39" s="11"/>
      <c r="O39" s="6"/>
      <c r="P39" s="5"/>
      <c r="Q39" s="25"/>
      <c r="R39" s="16">
        <v>0.65</v>
      </c>
      <c r="S39" s="7" t="e">
        <f t="shared" si="5"/>
        <v>#DIV/0!</v>
      </c>
      <c r="T39" s="11"/>
      <c r="U39" s="11"/>
      <c r="V39" s="11"/>
      <c r="W39" s="6"/>
      <c r="X39" s="6"/>
    </row>
    <row r="40" spans="1:24" x14ac:dyDescent="0.35">
      <c r="A40" s="25"/>
      <c r="B40" s="16">
        <v>0.7</v>
      </c>
      <c r="C40" s="7" t="e">
        <f t="shared" si="3"/>
        <v>#DIV/0!</v>
      </c>
      <c r="D40" s="11"/>
      <c r="E40" s="11"/>
      <c r="F40" s="11"/>
      <c r="G40" s="6"/>
      <c r="H40" s="6"/>
      <c r="I40" s="25"/>
      <c r="J40" s="16">
        <v>0.7</v>
      </c>
      <c r="K40" s="7" t="e">
        <f t="shared" si="4"/>
        <v>#DIV/0!</v>
      </c>
      <c r="L40" s="11"/>
      <c r="M40" s="11"/>
      <c r="N40" s="11"/>
      <c r="O40" s="6"/>
      <c r="P40" s="5"/>
      <c r="Q40" s="25"/>
      <c r="R40" s="16">
        <v>0.7</v>
      </c>
      <c r="S40" s="7" t="e">
        <f t="shared" si="5"/>
        <v>#DIV/0!</v>
      </c>
      <c r="T40" s="11"/>
      <c r="U40" s="11"/>
      <c r="V40" s="11"/>
      <c r="W40" s="6"/>
      <c r="X40" s="6"/>
    </row>
    <row r="41" spans="1:24" x14ac:dyDescent="0.35">
      <c r="A41" s="25"/>
      <c r="B41" s="16">
        <v>0.75</v>
      </c>
      <c r="C41" s="7">
        <f t="shared" si="3"/>
        <v>-14.074805194805192</v>
      </c>
      <c r="D41" s="11">
        <v>0.36599999999999999</v>
      </c>
      <c r="E41" s="11">
        <v>0.13600000000000001</v>
      </c>
      <c r="F41" s="11">
        <v>2.31</v>
      </c>
      <c r="G41" s="6">
        <f t="shared" ref="G41:G42" si="7">60000/10000*23.56</f>
        <v>141.35999999999999</v>
      </c>
      <c r="H41" s="6"/>
      <c r="I41" s="25"/>
      <c r="J41" s="16">
        <v>0.75</v>
      </c>
      <c r="K41" s="7">
        <f t="shared" si="4"/>
        <v>-14.074805194805192</v>
      </c>
      <c r="L41" s="11">
        <v>0.36599999999999999</v>
      </c>
      <c r="M41" s="11">
        <v>0.13600000000000001</v>
      </c>
      <c r="N41" s="11">
        <v>2.31</v>
      </c>
      <c r="O41" s="6">
        <f t="shared" ref="O41:O42" si="8">60000/10000*23.56</f>
        <v>141.35999999999999</v>
      </c>
      <c r="P41" s="5"/>
      <c r="Q41" s="25"/>
      <c r="R41" s="16">
        <v>0.75</v>
      </c>
      <c r="S41" s="7">
        <f t="shared" si="5"/>
        <v>-14.074805194805192</v>
      </c>
      <c r="T41" s="11">
        <v>0.36599999999999999</v>
      </c>
      <c r="U41" s="11">
        <v>0.13600000000000001</v>
      </c>
      <c r="V41" s="11">
        <v>2.31</v>
      </c>
      <c r="W41" s="6">
        <f t="shared" ref="W41:X41" si="9">60000/10000*23.56</f>
        <v>141.35999999999999</v>
      </c>
      <c r="X41" s="6">
        <f t="shared" si="9"/>
        <v>141.35999999999999</v>
      </c>
    </row>
    <row r="42" spans="1:24" x14ac:dyDescent="0.35">
      <c r="A42" s="25"/>
      <c r="B42" s="16">
        <v>0.8</v>
      </c>
      <c r="C42" s="7">
        <f t="shared" si="3"/>
        <v>-16.963199999999997</v>
      </c>
      <c r="D42" s="11">
        <v>0.36399999999999999</v>
      </c>
      <c r="E42" s="11">
        <v>7.5999999999999998E-2</v>
      </c>
      <c r="F42" s="11">
        <v>2.4</v>
      </c>
      <c r="G42" s="6">
        <f t="shared" si="7"/>
        <v>141.35999999999999</v>
      </c>
      <c r="H42" s="6"/>
      <c r="I42" s="25"/>
      <c r="J42" s="16">
        <v>0.8</v>
      </c>
      <c r="K42" s="7">
        <f t="shared" si="4"/>
        <v>-16.963199999999997</v>
      </c>
      <c r="L42" s="11">
        <v>0.36399999999999999</v>
      </c>
      <c r="M42" s="11">
        <v>7.5999999999999998E-2</v>
      </c>
      <c r="N42" s="11">
        <v>2.4</v>
      </c>
      <c r="O42" s="6">
        <f t="shared" si="8"/>
        <v>141.35999999999999</v>
      </c>
      <c r="P42" s="5"/>
      <c r="Q42" s="25"/>
      <c r="R42" s="16">
        <v>0.8</v>
      </c>
      <c r="S42" s="7">
        <f t="shared" si="5"/>
        <v>-16.963199999999997</v>
      </c>
      <c r="T42" s="11">
        <v>0.36399999999999999</v>
      </c>
      <c r="U42" s="11">
        <v>7.5999999999999998E-2</v>
      </c>
      <c r="V42" s="11">
        <v>2.4</v>
      </c>
      <c r="W42" s="6">
        <f t="shared" ref="W42:X42" si="10">60000/10000*23.56</f>
        <v>141.35999999999999</v>
      </c>
      <c r="X42" s="6">
        <f t="shared" si="10"/>
        <v>141.35999999999999</v>
      </c>
    </row>
    <row r="43" spans="1:24" x14ac:dyDescent="0.35">
      <c r="A43" s="25"/>
      <c r="B43" s="16">
        <v>0.85</v>
      </c>
      <c r="C43" s="7" t="e">
        <f t="shared" si="3"/>
        <v>#DIV/0!</v>
      </c>
      <c r="D43" s="11"/>
      <c r="E43" s="11"/>
      <c r="F43" s="11"/>
      <c r="G43" s="6"/>
      <c r="H43" s="6"/>
      <c r="I43" s="25"/>
      <c r="J43" s="16">
        <v>0.85</v>
      </c>
      <c r="K43" s="7" t="e">
        <f t="shared" si="4"/>
        <v>#DIV/0!</v>
      </c>
      <c r="L43" s="11"/>
      <c r="M43" s="11"/>
      <c r="N43" s="11"/>
      <c r="O43" s="6"/>
      <c r="P43" s="5"/>
      <c r="Q43" s="25"/>
      <c r="R43" s="16">
        <v>0.85</v>
      </c>
      <c r="S43" s="7" t="e">
        <f t="shared" si="5"/>
        <v>#DIV/0!</v>
      </c>
      <c r="T43" s="11"/>
      <c r="U43" s="11"/>
      <c r="V43" s="11"/>
      <c r="W43" s="6"/>
      <c r="X43" s="6"/>
    </row>
    <row r="44" spans="1:24" x14ac:dyDescent="0.35">
      <c r="A44" s="25"/>
      <c r="B44" s="16">
        <v>0.9</v>
      </c>
      <c r="C44" s="7" t="e">
        <f t="shared" si="3"/>
        <v>#DIV/0!</v>
      </c>
      <c r="D44" s="11"/>
      <c r="E44" s="11"/>
      <c r="F44" s="11"/>
      <c r="G44" s="6"/>
      <c r="H44" s="6"/>
      <c r="I44" s="25"/>
      <c r="J44" s="16">
        <v>0.9</v>
      </c>
      <c r="K44" s="7" t="e">
        <f t="shared" si="4"/>
        <v>#DIV/0!</v>
      </c>
      <c r="L44" s="11"/>
      <c r="M44" s="11"/>
      <c r="N44" s="11"/>
      <c r="O44" s="6"/>
      <c r="P44" s="5"/>
      <c r="Q44" s="25"/>
      <c r="R44" s="16">
        <v>0.9</v>
      </c>
      <c r="S44" s="7" t="e">
        <f t="shared" si="5"/>
        <v>#DIV/0!</v>
      </c>
      <c r="T44" s="11"/>
      <c r="U44" s="11"/>
      <c r="V44" s="11"/>
      <c r="W44" s="6"/>
      <c r="X44" s="6"/>
    </row>
    <row r="45" spans="1:24" x14ac:dyDescent="0.35">
      <c r="A45" s="25"/>
      <c r="B45" s="16">
        <v>0.95</v>
      </c>
      <c r="C45" s="7">
        <f t="shared" si="3"/>
        <v>-17.88204</v>
      </c>
      <c r="D45" s="11">
        <v>0.371</v>
      </c>
      <c r="E45" s="11">
        <v>0.11799999999999999</v>
      </c>
      <c r="F45" s="11">
        <v>2</v>
      </c>
      <c r="G45" s="6">
        <f t="shared" ref="G45:G46" si="11">60000/10000*23.56</f>
        <v>141.35999999999999</v>
      </c>
      <c r="H45" s="6"/>
      <c r="I45" s="25"/>
      <c r="J45" s="16">
        <v>0.95</v>
      </c>
      <c r="K45" s="7">
        <f t="shared" si="4"/>
        <v>-17.88204</v>
      </c>
      <c r="L45" s="11">
        <v>0.371</v>
      </c>
      <c r="M45" s="11">
        <v>0.11799999999999999</v>
      </c>
      <c r="N45" s="11">
        <v>2</v>
      </c>
      <c r="O45" s="6">
        <f t="shared" ref="O45:O46" si="12">60000/10000*23.56</f>
        <v>141.35999999999999</v>
      </c>
      <c r="P45" s="5"/>
      <c r="Q45" s="25"/>
      <c r="R45" s="16">
        <v>0.95</v>
      </c>
      <c r="S45" s="7">
        <f t="shared" si="5"/>
        <v>-17.88204</v>
      </c>
      <c r="T45" s="11">
        <v>0.371</v>
      </c>
      <c r="U45" s="11">
        <v>0.11799999999999999</v>
      </c>
      <c r="V45" s="11">
        <v>2</v>
      </c>
      <c r="W45" s="6">
        <f t="shared" ref="W45:X45" si="13">60000/10000*23.56</f>
        <v>141.35999999999999</v>
      </c>
      <c r="X45" s="6">
        <f t="shared" si="13"/>
        <v>141.35999999999999</v>
      </c>
    </row>
    <row r="46" spans="1:24" x14ac:dyDescent="0.35">
      <c r="A46" s="20"/>
      <c r="B46" s="16">
        <v>1</v>
      </c>
      <c r="C46" s="7">
        <f t="shared" si="3"/>
        <v>-20.527930434782611</v>
      </c>
      <c r="D46" s="11">
        <v>0.376</v>
      </c>
      <c r="E46" s="11">
        <v>4.2000000000000003E-2</v>
      </c>
      <c r="F46" s="11">
        <v>2.2999999999999998</v>
      </c>
      <c r="G46" s="6">
        <f t="shared" si="11"/>
        <v>141.35999999999999</v>
      </c>
      <c r="H46" s="6"/>
      <c r="I46" s="20"/>
      <c r="J46" s="16">
        <v>1</v>
      </c>
      <c r="K46" s="7">
        <f t="shared" si="4"/>
        <v>-20.527930434782611</v>
      </c>
      <c r="L46" s="11">
        <v>0.376</v>
      </c>
      <c r="M46" s="11">
        <v>4.2000000000000003E-2</v>
      </c>
      <c r="N46" s="11">
        <v>2.2999999999999998</v>
      </c>
      <c r="O46" s="6">
        <f t="shared" si="12"/>
        <v>141.35999999999999</v>
      </c>
      <c r="P46" s="5"/>
      <c r="Q46" s="20"/>
      <c r="R46" s="16">
        <v>1</v>
      </c>
      <c r="S46" s="7">
        <f t="shared" si="5"/>
        <v>-20.527930434782611</v>
      </c>
      <c r="T46" s="11">
        <v>0.376</v>
      </c>
      <c r="U46" s="11">
        <v>4.2000000000000003E-2</v>
      </c>
      <c r="V46" s="11">
        <v>2.2999999999999998</v>
      </c>
      <c r="W46" s="6">
        <f t="shared" ref="W46:X46" si="14">60000/10000*23.56</f>
        <v>141.35999999999999</v>
      </c>
      <c r="X46" s="6">
        <f t="shared" si="14"/>
        <v>141.35999999999999</v>
      </c>
    </row>
  </sheetData>
  <mergeCells count="7">
    <mergeCell ref="Q31:Q46"/>
    <mergeCell ref="A3:A4"/>
    <mergeCell ref="B3:D3"/>
    <mergeCell ref="E3:G3"/>
    <mergeCell ref="H3:J3"/>
    <mergeCell ref="A31:A46"/>
    <mergeCell ref="I31:I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Gammel karakteristikk</vt:lpstr>
      <vt:lpstr>090125 Karakteristikk</vt:lpstr>
      <vt:lpstr>090725 Karakteristikk 1010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Torjus Brekke</cp:lastModifiedBy>
  <dcterms:modified xsi:type="dcterms:W3CDTF">2026-01-27T09:34:38Z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2026-01-27T09:34:38Z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aa5a0369-75ae-4983-bcf9-9944e4f6cfcd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