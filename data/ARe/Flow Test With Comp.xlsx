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  <sheet state="visible" name="Kopi av Ark 1" sheetId="2" r:id="rId6"/>
  </sheets>
  <definedNames/>
  <calcPr/>
</workbook>
</file>

<file path=xl/sharedStrings.xml><?xml version="1.0" encoding="utf-8"?>
<sst xmlns="http://schemas.openxmlformats.org/spreadsheetml/2006/main" count="48" uniqueCount="18">
  <si>
    <t>Signal</t>
  </si>
  <si>
    <t>Flow [l/min]</t>
  </si>
  <si>
    <t>start [m]</t>
  </si>
  <si>
    <t>slutt [m]</t>
  </si>
  <si>
    <t>t [s]</t>
  </si>
  <si>
    <t>m/s 2 l/min</t>
  </si>
  <si>
    <t>Flow</t>
  </si>
  <si>
    <t>start</t>
  </si>
  <si>
    <t>slutt</t>
  </si>
  <si>
    <t>t</t>
  </si>
  <si>
    <t>Quick Test</t>
  </si>
  <si>
    <t>Speed</t>
  </si>
  <si>
    <t>Kompensator test</t>
  </si>
  <si>
    <t>u</t>
  </si>
  <si>
    <t>hastighet</t>
  </si>
  <si>
    <t>Ps</t>
  </si>
  <si>
    <t>Ps2</t>
  </si>
  <si>
    <t>deltaPs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</si>
</sst>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A61D4C"/>
      <name val="&quot;Google Sans Mono&quot;"/>
    </font>
    <font>
      <sz val="9.0"/>
      <color rgb="FF1155CC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2" fontId="2" numFmtId="0" xfId="0" applyFill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[l/min] vs. Signal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'Ark 1'!$C$2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'Ark 1'!$B$3:$B$19</c:f>
            </c:strRef>
          </c:cat>
          <c:val>
            <c:numRef>
              <c:f>'Ark 1'!$C$3:$C$19</c:f>
              <c:numCache/>
            </c:numRef>
          </c:val>
          <c:smooth val="0"/>
        </c:ser>
        <c:axId val="2111287566"/>
        <c:axId val="9736217"/>
      </c:lineChart>
      <c:catAx>
        <c:axId val="2111287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6217"/>
      </c:catAx>
      <c:valAx>
        <c:axId val="9736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[l/min]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287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vs. Signal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'Ark 1'!$J$2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'Ark 1'!$I$3:$I$19</c:f>
            </c:strRef>
          </c:cat>
          <c:val>
            <c:numRef>
              <c:f>'Ark 1'!$J$3:$J$19</c:f>
              <c:numCache/>
            </c:numRef>
          </c:val>
          <c:smooth val="0"/>
        </c:ser>
        <c:axId val="1286613458"/>
        <c:axId val="751585046"/>
      </c:lineChart>
      <c:catAx>
        <c:axId val="1286613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85046"/>
      </c:catAx>
      <c:valAx>
        <c:axId val="751585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613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[l/min] vs. Signal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'Kopi av Ark 1'!$C$2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'Kopi av Ark 1'!$B$3:$B$19</c:f>
            </c:strRef>
          </c:cat>
          <c:val>
            <c:numRef>
              <c:f>'Kopi av Ark 1'!$C$3:$C$19</c:f>
              <c:numCache/>
            </c:numRef>
          </c:val>
          <c:smooth val="0"/>
        </c:ser>
        <c:axId val="129577983"/>
        <c:axId val="182498887"/>
      </c:lineChart>
      <c:catAx>
        <c:axId val="129577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98887"/>
      </c:catAx>
      <c:valAx>
        <c:axId val="182498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[l/min]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77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vs. Signal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'Kopi av Ark 1'!$J$2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'Kopi av Ark 1'!$I$3:$I$19</c:f>
            </c:strRef>
          </c:cat>
          <c:val>
            <c:numRef>
              <c:f>'Kopi av Ark 1'!$J$3:$J$19</c:f>
              <c:numCache/>
            </c:numRef>
          </c:val>
          <c:smooth val="0"/>
        </c:ser>
        <c:axId val="548150941"/>
        <c:axId val="1482971802"/>
      </c:lineChart>
      <c:catAx>
        <c:axId val="548150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971802"/>
      </c:catAx>
      <c:valAx>
        <c:axId val="1482971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150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Compansated Valve mapping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'Kopi av Ark 1'!$R$6:$R$42</c:f>
            </c:strRef>
          </c:cat>
          <c:val>
            <c:numRef>
              <c:f>'Kopi av Ark 1'!$S$6:$S$42</c:f>
              <c:numCache/>
            </c:numRef>
          </c:val>
          <c:smooth val="1"/>
        </c:ser>
        <c:axId val="483081045"/>
        <c:axId val="762158752"/>
      </c:lineChart>
      <c:catAx>
        <c:axId val="483081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158752"/>
      </c:catAx>
      <c:valAx>
        <c:axId val="762158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Flow [l/min]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081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31</xdr:row>
      <xdr:rowOff>171450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31</xdr:row>
      <xdr:rowOff>104775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33</xdr:row>
      <xdr:rowOff>171450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33</xdr:row>
      <xdr:rowOff>104775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371475</xdr:colOff>
      <xdr:row>5</xdr:row>
      <xdr:rowOff>114300</xdr:rowOff>
    </xdr:from>
    <xdr:ext cx="8715375" cy="54006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0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5</v>
      </c>
    </row>
    <row r="3">
      <c r="B3" s="1">
        <v>0.2</v>
      </c>
      <c r="C3" s="2">
        <f t="shared" ref="C3:C19" si="1">(E3-D3)/F3*G3</f>
        <v>0.1986</v>
      </c>
      <c r="D3" s="1">
        <v>0.02</v>
      </c>
      <c r="E3" s="1">
        <v>0.022</v>
      </c>
      <c r="F3" s="1">
        <v>2.0</v>
      </c>
      <c r="G3" s="1">
        <f t="shared" ref="G3:G19" si="2">60000/10000*33.1</f>
        <v>198.6</v>
      </c>
      <c r="I3" s="1">
        <v>-0.2</v>
      </c>
      <c r="J3" s="2">
        <f t="shared" ref="J3:J19" si="3">(L3-K3)/M3*N3</f>
        <v>-2.441672727</v>
      </c>
      <c r="K3" s="1">
        <v>0.46</v>
      </c>
      <c r="L3" s="1">
        <v>0.27</v>
      </c>
      <c r="M3" s="1">
        <v>11.0</v>
      </c>
      <c r="N3" s="1">
        <f>60000/10000*23.56</f>
        <v>141.36</v>
      </c>
    </row>
    <row r="4">
      <c r="B4" s="1">
        <v>0.25</v>
      </c>
      <c r="C4" s="2">
        <f t="shared" si="1"/>
        <v>1.6881</v>
      </c>
      <c r="D4" s="1">
        <v>0.033</v>
      </c>
      <c r="E4" s="1">
        <v>0.05</v>
      </c>
      <c r="F4" s="1">
        <v>2.0</v>
      </c>
      <c r="G4" s="1">
        <f t="shared" si="2"/>
        <v>198.6</v>
      </c>
      <c r="I4" s="1">
        <f t="shared" ref="I4:I19" si="4">I3-0.05</f>
        <v>-0.25</v>
      </c>
      <c r="J4" s="2">
        <f t="shared" si="3"/>
        <v>-4.0052</v>
      </c>
      <c r="K4" s="1">
        <v>0.37</v>
      </c>
      <c r="L4" s="1">
        <v>0.2</v>
      </c>
      <c r="M4" s="1">
        <v>6.0</v>
      </c>
      <c r="N4" s="1">
        <f t="shared" ref="N4:N19" si="5">N3</f>
        <v>141.36</v>
      </c>
    </row>
    <row r="5">
      <c r="B5" s="1">
        <v>0.3</v>
      </c>
      <c r="C5" s="2">
        <f t="shared" si="1"/>
        <v>2.6811</v>
      </c>
      <c r="D5" s="1">
        <v>0.078</v>
      </c>
      <c r="E5" s="1">
        <v>0.105</v>
      </c>
      <c r="F5" s="1">
        <v>2.0</v>
      </c>
      <c r="G5" s="1">
        <f t="shared" si="2"/>
        <v>198.6</v>
      </c>
      <c r="I5" s="1">
        <f t="shared" si="4"/>
        <v>-0.3</v>
      </c>
      <c r="J5" s="2">
        <f t="shared" si="3"/>
        <v>-5.140363636</v>
      </c>
      <c r="K5" s="1">
        <v>0.37</v>
      </c>
      <c r="L5" s="1">
        <v>0.17</v>
      </c>
      <c r="M5" s="1">
        <v>5.5</v>
      </c>
      <c r="N5" s="1">
        <f t="shared" si="5"/>
        <v>141.36</v>
      </c>
    </row>
    <row r="6">
      <c r="B6" s="1">
        <v>0.35</v>
      </c>
      <c r="C6" s="2">
        <f t="shared" si="1"/>
        <v>3.2769</v>
      </c>
      <c r="D6" s="1">
        <v>0.141</v>
      </c>
      <c r="E6" s="1">
        <v>0.174</v>
      </c>
      <c r="F6" s="1">
        <v>2.0</v>
      </c>
      <c r="G6" s="1">
        <f t="shared" si="2"/>
        <v>198.6</v>
      </c>
      <c r="I6" s="1">
        <f t="shared" si="4"/>
        <v>-0.35</v>
      </c>
      <c r="J6" s="2">
        <f t="shared" si="3"/>
        <v>-5.93712</v>
      </c>
      <c r="K6" s="1">
        <v>0.36</v>
      </c>
      <c r="L6" s="1">
        <v>0.15</v>
      </c>
      <c r="M6" s="1">
        <v>5.0</v>
      </c>
      <c r="N6" s="1">
        <f t="shared" si="5"/>
        <v>141.36</v>
      </c>
    </row>
    <row r="7">
      <c r="B7" s="1">
        <v>0.4</v>
      </c>
      <c r="C7" s="2">
        <f t="shared" si="1"/>
        <v>3.8727</v>
      </c>
      <c r="D7" s="1">
        <v>0.226</v>
      </c>
      <c r="E7" s="1">
        <v>0.265</v>
      </c>
      <c r="F7" s="1">
        <v>2.0</v>
      </c>
      <c r="G7" s="1">
        <f t="shared" si="2"/>
        <v>198.6</v>
      </c>
      <c r="I7" s="1">
        <f t="shared" si="4"/>
        <v>-0.4</v>
      </c>
      <c r="J7" s="2">
        <f t="shared" si="3"/>
        <v>-6.910933333</v>
      </c>
      <c r="K7" s="1">
        <v>0.37</v>
      </c>
      <c r="L7" s="1">
        <v>0.15</v>
      </c>
      <c r="M7" s="1">
        <v>4.5</v>
      </c>
      <c r="N7" s="1">
        <f t="shared" si="5"/>
        <v>141.36</v>
      </c>
    </row>
    <row r="8">
      <c r="B8" s="1">
        <v>0.45</v>
      </c>
      <c r="C8" s="2">
        <f t="shared" si="1"/>
        <v>5.2629</v>
      </c>
      <c r="D8" s="1">
        <v>0.337</v>
      </c>
      <c r="E8" s="1">
        <v>0.39</v>
      </c>
      <c r="F8" s="1">
        <v>2.0</v>
      </c>
      <c r="G8" s="1">
        <f t="shared" si="2"/>
        <v>198.6</v>
      </c>
      <c r="I8" s="1">
        <f t="shared" si="4"/>
        <v>-0.45</v>
      </c>
      <c r="J8" s="2">
        <f t="shared" si="3"/>
        <v>-7.4214</v>
      </c>
      <c r="K8" s="1">
        <v>0.34</v>
      </c>
      <c r="L8" s="1">
        <v>0.13</v>
      </c>
      <c r="M8" s="1">
        <v>4.0</v>
      </c>
      <c r="N8" s="1">
        <f t="shared" si="5"/>
        <v>141.36</v>
      </c>
      <c r="Q8" s="1" t="s">
        <v>10</v>
      </c>
    </row>
    <row r="9">
      <c r="B9" s="1">
        <v>0.5</v>
      </c>
      <c r="C9" s="2">
        <f t="shared" si="1"/>
        <v>5.4615</v>
      </c>
      <c r="D9" s="1">
        <v>0.046</v>
      </c>
      <c r="E9" s="1">
        <v>0.101</v>
      </c>
      <c r="F9" s="1">
        <v>2.0</v>
      </c>
      <c r="G9" s="1">
        <f t="shared" si="2"/>
        <v>198.6</v>
      </c>
      <c r="I9" s="1">
        <f t="shared" si="4"/>
        <v>-0.5</v>
      </c>
      <c r="J9" s="2">
        <f t="shared" si="3"/>
        <v>-8.835</v>
      </c>
      <c r="K9" s="1">
        <v>0.38</v>
      </c>
      <c r="L9" s="1">
        <v>0.13</v>
      </c>
      <c r="M9" s="1">
        <v>4.0</v>
      </c>
      <c r="N9" s="1">
        <f t="shared" si="5"/>
        <v>141.36</v>
      </c>
      <c r="O9" s="1"/>
      <c r="P9" s="1" t="s">
        <v>11</v>
      </c>
      <c r="Q9" s="3">
        <f>(0.31-0.113)/1.7</f>
        <v>0.1158823529</v>
      </c>
    </row>
    <row r="10">
      <c r="B10" s="1">
        <v>0.55</v>
      </c>
      <c r="C10" s="2">
        <f t="shared" si="1"/>
        <v>6.3552</v>
      </c>
      <c r="D10" s="1">
        <v>0.165</v>
      </c>
      <c r="E10" s="1">
        <v>0.229</v>
      </c>
      <c r="F10" s="1">
        <v>2.0</v>
      </c>
      <c r="G10" s="1">
        <f t="shared" si="2"/>
        <v>198.6</v>
      </c>
      <c r="I10" s="1">
        <f t="shared" si="4"/>
        <v>-0.55</v>
      </c>
      <c r="J10" s="2">
        <f t="shared" si="3"/>
        <v>-10.488</v>
      </c>
      <c r="K10" s="1">
        <v>0.35</v>
      </c>
      <c r="L10" s="1">
        <v>0.12</v>
      </c>
      <c r="M10" s="1">
        <v>3.1</v>
      </c>
      <c r="N10" s="1">
        <f t="shared" si="5"/>
        <v>141.36</v>
      </c>
      <c r="O10" s="1"/>
      <c r="P10" s="1" t="s">
        <v>6</v>
      </c>
      <c r="Q10" s="3">
        <f>G3*Q9</f>
        <v>23.01423529</v>
      </c>
    </row>
    <row r="11">
      <c r="B11" s="1">
        <v>0.6</v>
      </c>
      <c r="C11" s="2">
        <f t="shared" si="1"/>
        <v>7.8447</v>
      </c>
      <c r="D11" s="1">
        <v>0.248</v>
      </c>
      <c r="E11" s="1">
        <v>0.327</v>
      </c>
      <c r="F11" s="1">
        <v>2.0</v>
      </c>
      <c r="G11" s="1">
        <f t="shared" si="2"/>
        <v>198.6</v>
      </c>
      <c r="I11" s="1">
        <f t="shared" si="4"/>
        <v>-0.6</v>
      </c>
      <c r="J11" s="2">
        <f t="shared" si="3"/>
        <v>-11.78</v>
      </c>
      <c r="K11" s="1">
        <v>0.36</v>
      </c>
      <c r="L11" s="1">
        <v>0.16</v>
      </c>
      <c r="M11" s="1">
        <v>2.4</v>
      </c>
      <c r="N11" s="1">
        <f t="shared" si="5"/>
        <v>141.36</v>
      </c>
    </row>
    <row r="12">
      <c r="B12" s="1">
        <v>0.65</v>
      </c>
      <c r="C12" s="2">
        <f t="shared" si="1"/>
        <v>8.937</v>
      </c>
      <c r="D12" s="1">
        <v>0.05</v>
      </c>
      <c r="E12" s="1">
        <v>0.14</v>
      </c>
      <c r="F12" s="1">
        <v>2.0</v>
      </c>
      <c r="G12" s="1">
        <f t="shared" si="2"/>
        <v>198.6</v>
      </c>
      <c r="I12" s="1">
        <f t="shared" si="4"/>
        <v>-0.65</v>
      </c>
      <c r="J12" s="2">
        <f t="shared" si="3"/>
        <v>-14.136</v>
      </c>
      <c r="K12" s="1">
        <v>0.36</v>
      </c>
      <c r="L12" s="1">
        <v>0.13</v>
      </c>
      <c r="M12" s="1">
        <v>2.3</v>
      </c>
      <c r="N12" s="1">
        <f t="shared" si="5"/>
        <v>141.36</v>
      </c>
    </row>
    <row r="13">
      <c r="B13" s="1">
        <v>0.7</v>
      </c>
      <c r="C13" s="2">
        <f t="shared" si="1"/>
        <v>9.457142857</v>
      </c>
      <c r="D13" s="1">
        <v>0.24</v>
      </c>
      <c r="E13" s="1">
        <v>0.34</v>
      </c>
      <c r="F13" s="1">
        <v>2.1</v>
      </c>
      <c r="G13" s="1">
        <f t="shared" si="2"/>
        <v>198.6</v>
      </c>
      <c r="I13" s="1">
        <f t="shared" si="4"/>
        <v>-0.7</v>
      </c>
      <c r="J13" s="2">
        <f t="shared" si="3"/>
        <v>-15.5496</v>
      </c>
      <c r="K13" s="1">
        <v>0.35</v>
      </c>
      <c r="L13" s="1">
        <v>0.13</v>
      </c>
      <c r="M13" s="1">
        <v>2.0</v>
      </c>
      <c r="N13" s="1">
        <f t="shared" si="5"/>
        <v>141.36</v>
      </c>
    </row>
    <row r="14">
      <c r="B14" s="1">
        <v>0.75</v>
      </c>
      <c r="C14" s="2">
        <f t="shared" si="1"/>
        <v>10.923</v>
      </c>
      <c r="D14" s="1">
        <v>0.12</v>
      </c>
      <c r="E14" s="1">
        <v>0.23</v>
      </c>
      <c r="F14" s="1">
        <v>2.0</v>
      </c>
      <c r="G14" s="1">
        <f t="shared" si="2"/>
        <v>198.6</v>
      </c>
      <c r="I14" s="1">
        <f t="shared" si="4"/>
        <v>-0.75</v>
      </c>
      <c r="J14" s="2">
        <f t="shared" si="3"/>
        <v>-16.492</v>
      </c>
      <c r="K14" s="1">
        <v>0.32</v>
      </c>
      <c r="L14" s="1">
        <v>0.11</v>
      </c>
      <c r="M14" s="1">
        <v>1.8</v>
      </c>
      <c r="N14" s="1">
        <f t="shared" si="5"/>
        <v>141.36</v>
      </c>
    </row>
    <row r="15">
      <c r="B15" s="1">
        <v>0.8</v>
      </c>
      <c r="C15" s="2">
        <f t="shared" si="1"/>
        <v>12.909</v>
      </c>
      <c r="D15" s="1">
        <v>0.02</v>
      </c>
      <c r="E15" s="1">
        <v>0.15</v>
      </c>
      <c r="F15" s="1">
        <v>2.0</v>
      </c>
      <c r="G15" s="1">
        <f t="shared" si="2"/>
        <v>198.6</v>
      </c>
      <c r="I15" s="1">
        <f t="shared" si="4"/>
        <v>-0.8</v>
      </c>
      <c r="J15" s="2">
        <f t="shared" si="3"/>
        <v>-17.9056</v>
      </c>
      <c r="K15" s="1">
        <v>0.3</v>
      </c>
      <c r="L15" s="1">
        <v>0.11</v>
      </c>
      <c r="M15" s="1">
        <v>1.5</v>
      </c>
      <c r="N15" s="1">
        <f t="shared" si="5"/>
        <v>141.36</v>
      </c>
    </row>
    <row r="16">
      <c r="A16" s="1">
        <v>13.902</v>
      </c>
      <c r="B16" s="1">
        <v>0.85</v>
      </c>
      <c r="C16" s="2">
        <f t="shared" si="1"/>
        <v>14.53170732</v>
      </c>
      <c r="D16" s="1">
        <v>0.12</v>
      </c>
      <c r="E16" s="1">
        <v>0.42</v>
      </c>
      <c r="F16" s="1">
        <v>4.1</v>
      </c>
      <c r="G16" s="1">
        <f t="shared" si="2"/>
        <v>198.6</v>
      </c>
      <c r="I16" s="1">
        <f t="shared" si="4"/>
        <v>-0.85</v>
      </c>
      <c r="J16" s="2">
        <f t="shared" si="3"/>
        <v>-21.84654545</v>
      </c>
      <c r="K16" s="1">
        <v>0.33</v>
      </c>
      <c r="L16" s="1">
        <v>0.16</v>
      </c>
      <c r="M16" s="1">
        <v>1.1</v>
      </c>
      <c r="N16" s="1">
        <f t="shared" si="5"/>
        <v>141.36</v>
      </c>
    </row>
    <row r="17">
      <c r="B17" s="1">
        <v>0.9</v>
      </c>
      <c r="C17" s="2">
        <f t="shared" si="1"/>
        <v>16.3845</v>
      </c>
      <c r="D17" s="1">
        <v>0.07</v>
      </c>
      <c r="E17" s="1">
        <v>0.4</v>
      </c>
      <c r="F17" s="1">
        <v>4.0</v>
      </c>
      <c r="G17" s="1">
        <f t="shared" si="2"/>
        <v>198.6</v>
      </c>
      <c r="I17" s="1">
        <f t="shared" si="4"/>
        <v>-0.9</v>
      </c>
      <c r="J17" s="2">
        <f t="shared" si="3"/>
        <v>-24.41672727</v>
      </c>
      <c r="K17" s="1">
        <v>0.32</v>
      </c>
      <c r="L17" s="1">
        <v>0.13</v>
      </c>
      <c r="M17" s="1">
        <v>1.1</v>
      </c>
      <c r="N17" s="1">
        <f t="shared" si="5"/>
        <v>141.36</v>
      </c>
    </row>
    <row r="18">
      <c r="B18" s="1">
        <v>0.95</v>
      </c>
      <c r="C18" s="2">
        <f t="shared" si="1"/>
        <v>15.888</v>
      </c>
      <c r="D18" s="1">
        <v>0.07</v>
      </c>
      <c r="E18" s="1">
        <v>0.39</v>
      </c>
      <c r="F18" s="1">
        <v>4.0</v>
      </c>
      <c r="G18" s="1">
        <f t="shared" si="2"/>
        <v>198.6</v>
      </c>
      <c r="I18" s="1">
        <f t="shared" si="4"/>
        <v>-0.95</v>
      </c>
      <c r="J18" s="2">
        <f t="shared" si="3"/>
        <v>-25.24285714</v>
      </c>
      <c r="K18" s="1">
        <v>0.33</v>
      </c>
      <c r="L18" s="1">
        <v>0.08</v>
      </c>
      <c r="M18" s="1">
        <v>1.4</v>
      </c>
      <c r="N18" s="1">
        <f t="shared" si="5"/>
        <v>141.36</v>
      </c>
    </row>
    <row r="19">
      <c r="B19" s="1">
        <v>1.0</v>
      </c>
      <c r="C19" s="2">
        <f t="shared" si="1"/>
        <v>15.888</v>
      </c>
      <c r="D19" s="1">
        <v>0.08</v>
      </c>
      <c r="E19" s="1">
        <v>0.36</v>
      </c>
      <c r="F19" s="1">
        <v>3.5</v>
      </c>
      <c r="G19" s="1">
        <f t="shared" si="2"/>
        <v>198.6</v>
      </c>
      <c r="I19" s="1">
        <f t="shared" si="4"/>
        <v>-1</v>
      </c>
      <c r="J19" s="2">
        <f t="shared" si="3"/>
        <v>-24.41672727</v>
      </c>
      <c r="K19" s="1">
        <v>0.3</v>
      </c>
      <c r="L19" s="1">
        <v>0.11</v>
      </c>
      <c r="M19" s="1">
        <v>1.1</v>
      </c>
      <c r="N19" s="1">
        <f t="shared" si="5"/>
        <v>141.36</v>
      </c>
    </row>
    <row r="23">
      <c r="B23" s="1" t="s">
        <v>12</v>
      </c>
    </row>
    <row r="24">
      <c r="A24" s="1" t="s">
        <v>13</v>
      </c>
      <c r="B24" s="1">
        <v>0.7</v>
      </c>
      <c r="C24" s="1">
        <v>0.7</v>
      </c>
      <c r="D24" s="1">
        <v>0.7</v>
      </c>
    </row>
    <row r="25">
      <c r="A25" s="1" t="s">
        <v>14</v>
      </c>
      <c r="B25" s="4">
        <f t="shared" ref="B25:D25" si="6">(D30-D29)/D31*$C$32</f>
        <v>9.93</v>
      </c>
      <c r="C25" s="4">
        <f t="shared" si="6"/>
        <v>8.937</v>
      </c>
      <c r="D25" s="4">
        <f t="shared" si="6"/>
        <v>8.937</v>
      </c>
    </row>
    <row r="26">
      <c r="A26" s="1" t="s">
        <v>15</v>
      </c>
      <c r="B26" s="1">
        <v>111.1</v>
      </c>
      <c r="C26" s="1">
        <v>125.8</v>
      </c>
      <c r="D26" s="1">
        <v>152.3</v>
      </c>
    </row>
    <row r="27">
      <c r="A27" s="1" t="s">
        <v>16</v>
      </c>
      <c r="B27" s="1">
        <v>108.8</v>
      </c>
      <c r="C27" s="1">
        <v>123.4</v>
      </c>
      <c r="D27" s="1">
        <v>150.1</v>
      </c>
    </row>
    <row r="28">
      <c r="A28" s="1" t="s">
        <v>17</v>
      </c>
      <c r="B28" s="3">
        <f t="shared" ref="B28:D28" si="7">B26-B27</f>
        <v>2.3</v>
      </c>
      <c r="C28" s="3">
        <f t="shared" si="7"/>
        <v>2.4</v>
      </c>
      <c r="D28" s="3">
        <f t="shared" si="7"/>
        <v>2.2</v>
      </c>
    </row>
    <row r="29">
      <c r="C29" s="1" t="s">
        <v>7</v>
      </c>
      <c r="D29" s="1">
        <v>0.07</v>
      </c>
      <c r="E29" s="1">
        <v>0.13</v>
      </c>
      <c r="F29" s="1">
        <v>0.19</v>
      </c>
    </row>
    <row r="30">
      <c r="C30" s="1" t="s">
        <v>8</v>
      </c>
      <c r="D30" s="1">
        <v>0.17</v>
      </c>
      <c r="E30" s="1">
        <v>0.22</v>
      </c>
      <c r="F30" s="1">
        <v>0.28</v>
      </c>
    </row>
    <row r="31">
      <c r="C31" s="1" t="s">
        <v>9</v>
      </c>
      <c r="D31" s="1">
        <v>2.0</v>
      </c>
      <c r="E31" s="1">
        <v>2.0</v>
      </c>
      <c r="F31" s="1">
        <v>2.0</v>
      </c>
    </row>
    <row r="32">
      <c r="C32" s="5">
        <f>60000/10000*33.1</f>
        <v>198.6</v>
      </c>
    </row>
  </sheetData>
  <mergeCells count="2">
    <mergeCell ref="B1:G1"/>
    <mergeCell ref="I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0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5</v>
      </c>
    </row>
    <row r="3">
      <c r="B3" s="1">
        <v>0.2</v>
      </c>
      <c r="C3" s="2">
        <f t="shared" ref="C3:C19" si="1">(E3-D3)/F3*G3</f>
        <v>0.1986</v>
      </c>
      <c r="D3" s="1">
        <v>0.02</v>
      </c>
      <c r="E3" s="1">
        <v>0.022</v>
      </c>
      <c r="F3" s="1">
        <v>2.0</v>
      </c>
      <c r="G3" s="1">
        <f t="shared" ref="G3:G19" si="2">60000/10000*33.1</f>
        <v>198.6</v>
      </c>
      <c r="I3" s="1">
        <v>-0.2</v>
      </c>
      <c r="J3" s="2">
        <f t="shared" ref="J3:J19" si="3">(L3-K3)/M3*N3</f>
        <v>-2.441672727</v>
      </c>
      <c r="K3" s="1">
        <v>0.46</v>
      </c>
      <c r="L3" s="1">
        <v>0.27</v>
      </c>
      <c r="M3" s="1">
        <v>11.0</v>
      </c>
      <c r="N3" s="1">
        <f>60000/10000*23.56</f>
        <v>141.36</v>
      </c>
    </row>
    <row r="4">
      <c r="B4" s="1">
        <v>0.25</v>
      </c>
      <c r="C4" s="2">
        <f t="shared" si="1"/>
        <v>1.6881</v>
      </c>
      <c r="D4" s="1">
        <v>0.033</v>
      </c>
      <c r="E4" s="1">
        <v>0.05</v>
      </c>
      <c r="F4" s="1">
        <v>2.0</v>
      </c>
      <c r="G4" s="1">
        <f t="shared" si="2"/>
        <v>198.6</v>
      </c>
      <c r="I4" s="1">
        <f t="shared" ref="I4:I19" si="4">I3-0.05</f>
        <v>-0.25</v>
      </c>
      <c r="J4" s="2">
        <f t="shared" si="3"/>
        <v>-4.0052</v>
      </c>
      <c r="K4" s="1">
        <v>0.37</v>
      </c>
      <c r="L4" s="1">
        <v>0.2</v>
      </c>
      <c r="M4" s="1">
        <v>6.0</v>
      </c>
      <c r="N4" s="1">
        <f t="shared" ref="N4:N19" si="5">N3</f>
        <v>141.36</v>
      </c>
    </row>
    <row r="5">
      <c r="B5" s="1">
        <v>0.3</v>
      </c>
      <c r="C5" s="2">
        <f t="shared" si="1"/>
        <v>2.6811</v>
      </c>
      <c r="D5" s="1">
        <v>0.078</v>
      </c>
      <c r="E5" s="1">
        <v>0.105</v>
      </c>
      <c r="F5" s="1">
        <v>2.0</v>
      </c>
      <c r="G5" s="1">
        <f t="shared" si="2"/>
        <v>198.6</v>
      </c>
      <c r="I5" s="1">
        <f t="shared" si="4"/>
        <v>-0.3</v>
      </c>
      <c r="J5" s="2">
        <f t="shared" si="3"/>
        <v>-5.140363636</v>
      </c>
      <c r="K5" s="1">
        <v>0.37</v>
      </c>
      <c r="L5" s="1">
        <v>0.17</v>
      </c>
      <c r="M5" s="1">
        <v>5.5</v>
      </c>
      <c r="N5" s="1">
        <f t="shared" si="5"/>
        <v>141.36</v>
      </c>
    </row>
    <row r="6">
      <c r="B6" s="1">
        <v>0.35</v>
      </c>
      <c r="C6" s="2">
        <f t="shared" si="1"/>
        <v>3.2769</v>
      </c>
      <c r="D6" s="1">
        <v>0.141</v>
      </c>
      <c r="E6" s="1">
        <v>0.174</v>
      </c>
      <c r="F6" s="1">
        <v>2.0</v>
      </c>
      <c r="G6" s="1">
        <f t="shared" si="2"/>
        <v>198.6</v>
      </c>
      <c r="I6" s="1">
        <f t="shared" si="4"/>
        <v>-0.35</v>
      </c>
      <c r="J6" s="2">
        <f t="shared" si="3"/>
        <v>-5.93712</v>
      </c>
      <c r="K6" s="1">
        <v>0.36</v>
      </c>
      <c r="L6" s="1">
        <v>0.15</v>
      </c>
      <c r="M6" s="1">
        <v>5.0</v>
      </c>
      <c r="N6" s="1">
        <f t="shared" si="5"/>
        <v>141.36</v>
      </c>
      <c r="R6" s="1">
        <f t="shared" ref="R6:R21" si="6">R7-0.05</f>
        <v>-1</v>
      </c>
      <c r="S6" s="2">
        <f t="shared" ref="S6:S11" si="7">ABS(T6)</f>
        <v>24.41672727</v>
      </c>
      <c r="T6" s="2">
        <v>-24.416727272727268</v>
      </c>
    </row>
    <row r="7">
      <c r="B7" s="1">
        <v>0.4</v>
      </c>
      <c r="C7" s="2">
        <f t="shared" si="1"/>
        <v>3.8727</v>
      </c>
      <c r="D7" s="1">
        <v>0.226</v>
      </c>
      <c r="E7" s="1">
        <v>0.265</v>
      </c>
      <c r="F7" s="1">
        <v>2.0</v>
      </c>
      <c r="G7" s="1">
        <f t="shared" si="2"/>
        <v>198.6</v>
      </c>
      <c r="I7" s="1">
        <f t="shared" si="4"/>
        <v>-0.4</v>
      </c>
      <c r="J7" s="2">
        <f t="shared" si="3"/>
        <v>-6.910933333</v>
      </c>
      <c r="K7" s="1">
        <v>0.37</v>
      </c>
      <c r="L7" s="1">
        <v>0.15</v>
      </c>
      <c r="M7" s="1">
        <v>4.5</v>
      </c>
      <c r="N7" s="1">
        <f t="shared" si="5"/>
        <v>141.36</v>
      </c>
      <c r="R7" s="1">
        <f t="shared" si="6"/>
        <v>-0.95</v>
      </c>
      <c r="S7" s="2">
        <f t="shared" si="7"/>
        <v>25.24285714</v>
      </c>
      <c r="T7" s="2">
        <v>-25.24285714285714</v>
      </c>
    </row>
    <row r="8">
      <c r="B8" s="1">
        <v>0.45</v>
      </c>
      <c r="C8" s="2">
        <f t="shared" si="1"/>
        <v>5.2629</v>
      </c>
      <c r="D8" s="1">
        <v>0.337</v>
      </c>
      <c r="E8" s="1">
        <v>0.39</v>
      </c>
      <c r="F8" s="1">
        <v>2.0</v>
      </c>
      <c r="G8" s="1">
        <f t="shared" si="2"/>
        <v>198.6</v>
      </c>
      <c r="I8" s="1">
        <f t="shared" si="4"/>
        <v>-0.45</v>
      </c>
      <c r="J8" s="2">
        <f t="shared" si="3"/>
        <v>-7.4214</v>
      </c>
      <c r="K8" s="1">
        <v>0.34</v>
      </c>
      <c r="L8" s="1">
        <v>0.13</v>
      </c>
      <c r="M8" s="1">
        <v>4.0</v>
      </c>
      <c r="N8" s="1">
        <f t="shared" si="5"/>
        <v>141.36</v>
      </c>
      <c r="Q8" s="1" t="s">
        <v>10</v>
      </c>
      <c r="R8" s="1">
        <f t="shared" si="6"/>
        <v>-0.9</v>
      </c>
      <c r="S8" s="2">
        <f t="shared" si="7"/>
        <v>24.41672727</v>
      </c>
      <c r="T8" s="2">
        <v>-24.416727272727268</v>
      </c>
    </row>
    <row r="9">
      <c r="B9" s="1">
        <v>0.5</v>
      </c>
      <c r="C9" s="2">
        <f t="shared" si="1"/>
        <v>5.4615</v>
      </c>
      <c r="D9" s="1">
        <v>0.046</v>
      </c>
      <c r="E9" s="1">
        <v>0.101</v>
      </c>
      <c r="F9" s="1">
        <v>2.0</v>
      </c>
      <c r="G9" s="1">
        <f t="shared" si="2"/>
        <v>198.6</v>
      </c>
      <c r="I9" s="1">
        <f t="shared" si="4"/>
        <v>-0.5</v>
      </c>
      <c r="J9" s="2">
        <f t="shared" si="3"/>
        <v>-8.835</v>
      </c>
      <c r="K9" s="1">
        <v>0.38</v>
      </c>
      <c r="L9" s="1">
        <v>0.13</v>
      </c>
      <c r="M9" s="1">
        <v>4.0</v>
      </c>
      <c r="N9" s="1">
        <f t="shared" si="5"/>
        <v>141.36</v>
      </c>
      <c r="O9" s="1"/>
      <c r="P9" s="1" t="s">
        <v>11</v>
      </c>
      <c r="Q9" s="3">
        <f>(0.31-0.113)/1.7</f>
        <v>0.1158823529</v>
      </c>
      <c r="R9" s="1">
        <f t="shared" si="6"/>
        <v>-0.85</v>
      </c>
      <c r="S9" s="2">
        <f t="shared" si="7"/>
        <v>21.84654545</v>
      </c>
      <c r="T9" s="2">
        <v>-21.846545454545453</v>
      </c>
    </row>
    <row r="10">
      <c r="B10" s="1">
        <v>0.55</v>
      </c>
      <c r="C10" s="2">
        <f t="shared" si="1"/>
        <v>6.3552</v>
      </c>
      <c r="D10" s="1">
        <v>0.165</v>
      </c>
      <c r="E10" s="1">
        <v>0.229</v>
      </c>
      <c r="F10" s="1">
        <v>2.0</v>
      </c>
      <c r="G10" s="1">
        <f t="shared" si="2"/>
        <v>198.6</v>
      </c>
      <c r="I10" s="1">
        <f t="shared" si="4"/>
        <v>-0.55</v>
      </c>
      <c r="J10" s="2">
        <f t="shared" si="3"/>
        <v>-10.488</v>
      </c>
      <c r="K10" s="1">
        <v>0.35</v>
      </c>
      <c r="L10" s="1">
        <v>0.12</v>
      </c>
      <c r="M10" s="1">
        <v>3.1</v>
      </c>
      <c r="N10" s="1">
        <f t="shared" si="5"/>
        <v>141.36</v>
      </c>
      <c r="O10" s="1"/>
      <c r="P10" s="1" t="s">
        <v>6</v>
      </c>
      <c r="Q10" s="3">
        <f>G3*Q9</f>
        <v>23.01423529</v>
      </c>
      <c r="R10" s="1">
        <f t="shared" si="6"/>
        <v>-0.8</v>
      </c>
      <c r="S10" s="2">
        <f t="shared" si="7"/>
        <v>17.9056</v>
      </c>
      <c r="T10" s="2">
        <v>-17.9056</v>
      </c>
    </row>
    <row r="11">
      <c r="B11" s="1">
        <v>0.6</v>
      </c>
      <c r="C11" s="2">
        <f t="shared" si="1"/>
        <v>7.8447</v>
      </c>
      <c r="D11" s="1">
        <v>0.248</v>
      </c>
      <c r="E11" s="1">
        <v>0.327</v>
      </c>
      <c r="F11" s="1">
        <v>2.0</v>
      </c>
      <c r="G11" s="1">
        <f t="shared" si="2"/>
        <v>198.6</v>
      </c>
      <c r="I11" s="1">
        <f t="shared" si="4"/>
        <v>-0.6</v>
      </c>
      <c r="J11" s="2">
        <f t="shared" si="3"/>
        <v>-11.78</v>
      </c>
      <c r="K11" s="1">
        <v>0.36</v>
      </c>
      <c r="L11" s="1">
        <v>0.16</v>
      </c>
      <c r="M11" s="1">
        <v>2.4</v>
      </c>
      <c r="N11" s="1">
        <f t="shared" si="5"/>
        <v>141.36</v>
      </c>
      <c r="R11" s="1">
        <f t="shared" si="6"/>
        <v>-0.75</v>
      </c>
      <c r="S11" s="2">
        <f t="shared" si="7"/>
        <v>16.492</v>
      </c>
      <c r="T11" s="2">
        <v>-16.491999999999997</v>
      </c>
    </row>
    <row r="12">
      <c r="B12" s="1">
        <v>0.65</v>
      </c>
      <c r="C12" s="2">
        <f t="shared" si="1"/>
        <v>8.937</v>
      </c>
      <c r="D12" s="1">
        <v>0.05</v>
      </c>
      <c r="E12" s="1">
        <v>0.14</v>
      </c>
      <c r="F12" s="1">
        <v>2.0</v>
      </c>
      <c r="G12" s="1">
        <f t="shared" si="2"/>
        <v>198.6</v>
      </c>
      <c r="I12" s="1">
        <f t="shared" si="4"/>
        <v>-0.65</v>
      </c>
      <c r="J12" s="2">
        <f t="shared" si="3"/>
        <v>-14.136</v>
      </c>
      <c r="K12" s="1">
        <v>0.36</v>
      </c>
      <c r="L12" s="1">
        <v>0.13</v>
      </c>
      <c r="M12" s="1">
        <v>2.3</v>
      </c>
      <c r="N12" s="1">
        <f t="shared" si="5"/>
        <v>141.36</v>
      </c>
      <c r="R12" s="1">
        <f t="shared" si="6"/>
        <v>-0.7</v>
      </c>
      <c r="S12" s="2">
        <f>ABS(T15)</f>
        <v>15.5496</v>
      </c>
      <c r="T12" s="2">
        <v>-14.136</v>
      </c>
    </row>
    <row r="13">
      <c r="B13" s="1">
        <v>0.7</v>
      </c>
      <c r="C13" s="2">
        <f t="shared" si="1"/>
        <v>9.457142857</v>
      </c>
      <c r="D13" s="1">
        <v>0.24</v>
      </c>
      <c r="E13" s="1">
        <v>0.34</v>
      </c>
      <c r="F13" s="1">
        <v>2.1</v>
      </c>
      <c r="G13" s="1">
        <f t="shared" si="2"/>
        <v>198.6</v>
      </c>
      <c r="I13" s="1">
        <f t="shared" si="4"/>
        <v>-0.7</v>
      </c>
      <c r="J13" s="2">
        <f t="shared" si="3"/>
        <v>-15.5496</v>
      </c>
      <c r="K13" s="1">
        <v>0.35</v>
      </c>
      <c r="L13" s="1">
        <v>0.13</v>
      </c>
      <c r="M13" s="1">
        <v>2.0</v>
      </c>
      <c r="N13" s="1">
        <f t="shared" si="5"/>
        <v>141.36</v>
      </c>
      <c r="R13" s="1">
        <f t="shared" si="6"/>
        <v>-0.65</v>
      </c>
      <c r="S13" s="2">
        <f t="shared" ref="S13:S15" si="8">ABS(T12)</f>
        <v>14.136</v>
      </c>
      <c r="T13" s="2">
        <v>-11.779999999999998</v>
      </c>
    </row>
    <row r="14">
      <c r="B14" s="1">
        <v>0.75</v>
      </c>
      <c r="C14" s="2">
        <f t="shared" si="1"/>
        <v>10.923</v>
      </c>
      <c r="D14" s="1">
        <v>0.12</v>
      </c>
      <c r="E14" s="1">
        <v>0.23</v>
      </c>
      <c r="F14" s="1">
        <v>2.0</v>
      </c>
      <c r="G14" s="1">
        <f t="shared" si="2"/>
        <v>198.6</v>
      </c>
      <c r="I14" s="1">
        <f t="shared" si="4"/>
        <v>-0.75</v>
      </c>
      <c r="J14" s="2">
        <f t="shared" si="3"/>
        <v>-16.492</v>
      </c>
      <c r="K14" s="1">
        <v>0.32</v>
      </c>
      <c r="L14" s="1">
        <v>0.11</v>
      </c>
      <c r="M14" s="1">
        <v>1.8</v>
      </c>
      <c r="N14" s="1">
        <f t="shared" si="5"/>
        <v>141.36</v>
      </c>
      <c r="R14" s="1">
        <f t="shared" si="6"/>
        <v>-0.6</v>
      </c>
      <c r="S14" s="2">
        <f t="shared" si="8"/>
        <v>11.78</v>
      </c>
      <c r="T14" s="2">
        <v>-10.487999999999998</v>
      </c>
    </row>
    <row r="15">
      <c r="B15" s="1">
        <v>0.8</v>
      </c>
      <c r="C15" s="2">
        <f t="shared" si="1"/>
        <v>12.909</v>
      </c>
      <c r="D15" s="1">
        <v>0.02</v>
      </c>
      <c r="E15" s="1">
        <v>0.15</v>
      </c>
      <c r="F15" s="1">
        <v>2.0</v>
      </c>
      <c r="G15" s="1">
        <f t="shared" si="2"/>
        <v>198.6</v>
      </c>
      <c r="I15" s="1">
        <f t="shared" si="4"/>
        <v>-0.8</v>
      </c>
      <c r="J15" s="2">
        <f t="shared" si="3"/>
        <v>-17.9056</v>
      </c>
      <c r="K15" s="1">
        <v>0.3</v>
      </c>
      <c r="L15" s="1">
        <v>0.11</v>
      </c>
      <c r="M15" s="1">
        <v>1.5</v>
      </c>
      <c r="N15" s="1">
        <f t="shared" si="5"/>
        <v>141.36</v>
      </c>
      <c r="R15" s="1">
        <f t="shared" si="6"/>
        <v>-0.55</v>
      </c>
      <c r="S15" s="2">
        <f t="shared" si="8"/>
        <v>10.488</v>
      </c>
      <c r="T15" s="2">
        <v>-15.549599999999996</v>
      </c>
    </row>
    <row r="16">
      <c r="A16" s="1">
        <v>13.902</v>
      </c>
      <c r="B16" s="1">
        <v>0.85</v>
      </c>
      <c r="C16" s="2">
        <f t="shared" si="1"/>
        <v>14.53170732</v>
      </c>
      <c r="D16" s="1">
        <v>0.12</v>
      </c>
      <c r="E16" s="1">
        <v>0.42</v>
      </c>
      <c r="F16" s="1">
        <v>4.1</v>
      </c>
      <c r="G16" s="1">
        <f t="shared" si="2"/>
        <v>198.6</v>
      </c>
      <c r="I16" s="1">
        <f t="shared" si="4"/>
        <v>-0.85</v>
      </c>
      <c r="J16" s="2">
        <f t="shared" si="3"/>
        <v>-21.84654545</v>
      </c>
      <c r="K16" s="1">
        <v>0.33</v>
      </c>
      <c r="L16" s="1">
        <v>0.16</v>
      </c>
      <c r="M16" s="1">
        <v>1.1</v>
      </c>
      <c r="N16" s="1">
        <f t="shared" si="5"/>
        <v>141.36</v>
      </c>
      <c r="R16" s="1">
        <f t="shared" si="6"/>
        <v>-0.5</v>
      </c>
      <c r="S16" s="2">
        <f t="shared" ref="S16:S22" si="9">ABS(T16)</f>
        <v>8.835</v>
      </c>
      <c r="T16" s="2">
        <v>-8.834999999999999</v>
      </c>
    </row>
    <row r="17">
      <c r="B17" s="1">
        <v>0.9</v>
      </c>
      <c r="C17" s="2">
        <f t="shared" si="1"/>
        <v>16.3845</v>
      </c>
      <c r="D17" s="1">
        <v>0.07</v>
      </c>
      <c r="E17" s="1">
        <v>0.4</v>
      </c>
      <c r="F17" s="1">
        <v>4.0</v>
      </c>
      <c r="G17" s="1">
        <f t="shared" si="2"/>
        <v>198.6</v>
      </c>
      <c r="I17" s="1">
        <f t="shared" si="4"/>
        <v>-0.9</v>
      </c>
      <c r="J17" s="2">
        <f t="shared" si="3"/>
        <v>-24.41672727</v>
      </c>
      <c r="K17" s="1">
        <v>0.32</v>
      </c>
      <c r="L17" s="1">
        <v>0.13</v>
      </c>
      <c r="M17" s="1">
        <v>1.1</v>
      </c>
      <c r="N17" s="1">
        <f t="shared" si="5"/>
        <v>141.36</v>
      </c>
      <c r="R17" s="1">
        <f t="shared" si="6"/>
        <v>-0.45</v>
      </c>
      <c r="S17" s="2">
        <f t="shared" si="9"/>
        <v>7.4214</v>
      </c>
      <c r="T17" s="2">
        <v>-7.4214</v>
      </c>
    </row>
    <row r="18">
      <c r="B18" s="1">
        <v>0.95</v>
      </c>
      <c r="C18" s="2">
        <f t="shared" si="1"/>
        <v>15.888</v>
      </c>
      <c r="D18" s="1">
        <v>0.07</v>
      </c>
      <c r="E18" s="1">
        <v>0.39</v>
      </c>
      <c r="F18" s="1">
        <v>4.0</v>
      </c>
      <c r="G18" s="1">
        <f t="shared" si="2"/>
        <v>198.6</v>
      </c>
      <c r="I18" s="1">
        <f t="shared" si="4"/>
        <v>-0.95</v>
      </c>
      <c r="J18" s="2">
        <f t="shared" si="3"/>
        <v>-25.24285714</v>
      </c>
      <c r="K18" s="1">
        <v>0.33</v>
      </c>
      <c r="L18" s="1">
        <v>0.08</v>
      </c>
      <c r="M18" s="1">
        <v>1.4</v>
      </c>
      <c r="N18" s="1">
        <f t="shared" si="5"/>
        <v>141.36</v>
      </c>
      <c r="R18" s="1">
        <f t="shared" si="6"/>
        <v>-0.4</v>
      </c>
      <c r="S18" s="2">
        <f t="shared" si="9"/>
        <v>6.910933333</v>
      </c>
      <c r="T18" s="2">
        <v>-6.910933333333333</v>
      </c>
    </row>
    <row r="19">
      <c r="B19" s="1">
        <v>1.0</v>
      </c>
      <c r="C19" s="2">
        <f t="shared" si="1"/>
        <v>15.888</v>
      </c>
      <c r="D19" s="1">
        <v>0.08</v>
      </c>
      <c r="E19" s="1">
        <v>0.36</v>
      </c>
      <c r="F19" s="1">
        <v>3.5</v>
      </c>
      <c r="G19" s="1">
        <f t="shared" si="2"/>
        <v>198.6</v>
      </c>
      <c r="I19" s="1">
        <f t="shared" si="4"/>
        <v>-1</v>
      </c>
      <c r="J19" s="2">
        <f t="shared" si="3"/>
        <v>-24.41672727</v>
      </c>
      <c r="K19" s="1">
        <v>0.3</v>
      </c>
      <c r="L19" s="1">
        <v>0.11</v>
      </c>
      <c r="M19" s="1">
        <v>1.1</v>
      </c>
      <c r="N19" s="1">
        <f t="shared" si="5"/>
        <v>141.36</v>
      </c>
      <c r="R19" s="1">
        <f t="shared" si="6"/>
        <v>-0.35</v>
      </c>
      <c r="S19" s="2">
        <f t="shared" si="9"/>
        <v>5.93712</v>
      </c>
      <c r="T19" s="2">
        <v>-5.937119999999998</v>
      </c>
    </row>
    <row r="20">
      <c r="R20" s="1">
        <f t="shared" si="6"/>
        <v>-0.3</v>
      </c>
      <c r="S20" s="2">
        <f t="shared" si="9"/>
        <v>5.140363636</v>
      </c>
      <c r="T20" s="2">
        <v>-5.140363636363635</v>
      </c>
    </row>
    <row r="21">
      <c r="R21" s="1">
        <f t="shared" si="6"/>
        <v>-0.25</v>
      </c>
      <c r="S21" s="2">
        <f t="shared" si="9"/>
        <v>4.0052</v>
      </c>
      <c r="T21" s="2">
        <v>-4.005199999999999</v>
      </c>
    </row>
    <row r="22">
      <c r="R22" s="1">
        <v>-0.2</v>
      </c>
      <c r="S22" s="2">
        <f t="shared" si="9"/>
        <v>2.441672727</v>
      </c>
      <c r="T22" s="2">
        <v>-2.441672727272727</v>
      </c>
    </row>
    <row r="23">
      <c r="B23" s="1"/>
      <c r="R23" s="1">
        <v>-0.13</v>
      </c>
      <c r="S23" s="1">
        <v>0.0</v>
      </c>
    </row>
    <row r="24">
      <c r="B24" s="1" t="s">
        <v>12</v>
      </c>
      <c r="R24" s="1">
        <v>0.0</v>
      </c>
      <c r="S24" s="1">
        <v>0.0</v>
      </c>
    </row>
    <row r="25">
      <c r="B25" s="1"/>
      <c r="R25" s="1">
        <v>0.13</v>
      </c>
      <c r="S25" s="1">
        <v>0.0</v>
      </c>
    </row>
    <row r="26">
      <c r="A26" s="1" t="s">
        <v>13</v>
      </c>
      <c r="B26" s="1">
        <v>0.7</v>
      </c>
      <c r="C26" s="1">
        <v>0.7</v>
      </c>
      <c r="D26" s="1">
        <v>0.7</v>
      </c>
      <c r="R26" s="1">
        <v>0.2</v>
      </c>
      <c r="S26" s="2">
        <v>0.19859999999999986</v>
      </c>
    </row>
    <row r="27">
      <c r="A27" s="1" t="s">
        <v>14</v>
      </c>
      <c r="B27" s="4">
        <f t="shared" ref="B27:D27" si="10">(D32-D31)/D33*$C$34</f>
        <v>9.93</v>
      </c>
      <c r="C27" s="4">
        <f t="shared" si="10"/>
        <v>8.937</v>
      </c>
      <c r="D27" s="4">
        <f t="shared" si="10"/>
        <v>8.937</v>
      </c>
      <c r="R27" s="1">
        <v>0.25</v>
      </c>
      <c r="S27" s="2">
        <v>1.6881000000000004</v>
      </c>
    </row>
    <row r="28">
      <c r="A28" s="1" t="s">
        <v>15</v>
      </c>
      <c r="B28" s="1">
        <v>111.1</v>
      </c>
      <c r="C28" s="1">
        <v>125.8</v>
      </c>
      <c r="D28" s="1">
        <v>152.3</v>
      </c>
      <c r="R28" s="1">
        <v>0.3</v>
      </c>
      <c r="S28" s="2">
        <v>2.6811</v>
      </c>
    </row>
    <row r="29">
      <c r="A29" s="1" t="s">
        <v>16</v>
      </c>
      <c r="B29" s="1">
        <v>108.8</v>
      </c>
      <c r="C29" s="1">
        <v>123.4</v>
      </c>
      <c r="D29" s="1">
        <v>150.1</v>
      </c>
      <c r="R29" s="1">
        <v>0.35</v>
      </c>
      <c r="S29" s="2">
        <v>3.2769000000000004</v>
      </c>
    </row>
    <row r="30">
      <c r="A30" s="1" t="s">
        <v>17</v>
      </c>
      <c r="B30" s="3">
        <f t="shared" ref="B30:D30" si="11">B28-B29</f>
        <v>2.3</v>
      </c>
      <c r="C30" s="3">
        <f t="shared" si="11"/>
        <v>2.4</v>
      </c>
      <c r="D30" s="3">
        <f t="shared" si="11"/>
        <v>2.2</v>
      </c>
      <c r="R30" s="1">
        <v>0.4</v>
      </c>
      <c r="S30" s="2">
        <v>3.872700000000001</v>
      </c>
    </row>
    <row r="31">
      <c r="C31" s="1" t="s">
        <v>7</v>
      </c>
      <c r="D31" s="1">
        <v>0.07</v>
      </c>
      <c r="E31" s="1">
        <v>0.13</v>
      </c>
      <c r="F31" s="1">
        <v>0.19</v>
      </c>
      <c r="R31" s="1">
        <v>0.45</v>
      </c>
      <c r="S31" s="2">
        <v>5.2629</v>
      </c>
    </row>
    <row r="32">
      <c r="C32" s="1" t="s">
        <v>8</v>
      </c>
      <c r="D32" s="1">
        <v>0.17</v>
      </c>
      <c r="E32" s="1">
        <v>0.22</v>
      </c>
      <c r="F32" s="1">
        <v>0.28</v>
      </c>
      <c r="R32" s="1">
        <v>0.5</v>
      </c>
      <c r="S32" s="2">
        <v>5.461500000000001</v>
      </c>
    </row>
    <row r="33">
      <c r="C33" s="1" t="s">
        <v>9</v>
      </c>
      <c r="D33" s="1">
        <v>2.0</v>
      </c>
      <c r="E33" s="1">
        <v>2.0</v>
      </c>
      <c r="F33" s="1">
        <v>2.0</v>
      </c>
      <c r="R33" s="1">
        <v>0.55</v>
      </c>
      <c r="S33" s="2">
        <v>6.355200000000001</v>
      </c>
    </row>
    <row r="34">
      <c r="C34" s="5">
        <f>60000/10000*33.1</f>
        <v>198.6</v>
      </c>
      <c r="R34" s="1">
        <v>0.6</v>
      </c>
      <c r="S34" s="2">
        <v>7.844700000000002</v>
      </c>
    </row>
    <row r="35">
      <c r="R35" s="1">
        <v>0.65</v>
      </c>
      <c r="S35" s="2">
        <v>8.937000000000003</v>
      </c>
    </row>
    <row r="36">
      <c r="R36" s="1">
        <v>0.7</v>
      </c>
      <c r="S36" s="2">
        <v>9.45714285714286</v>
      </c>
    </row>
    <row r="37">
      <c r="R37" s="1">
        <v>0.75</v>
      </c>
      <c r="S37" s="2">
        <v>10.923000000000002</v>
      </c>
    </row>
    <row r="38">
      <c r="R38" s="1">
        <v>0.8</v>
      </c>
      <c r="S38" s="2">
        <v>12.909000000000002</v>
      </c>
    </row>
    <row r="39">
      <c r="R39" s="1">
        <v>0.85</v>
      </c>
      <c r="S39" s="2">
        <v>14.531707317073174</v>
      </c>
    </row>
    <row r="40">
      <c r="R40" s="1">
        <v>0.9</v>
      </c>
      <c r="S40" s="2">
        <v>16.384500000000003</v>
      </c>
    </row>
    <row r="41">
      <c r="R41" s="1">
        <v>0.95</v>
      </c>
      <c r="S41" s="2">
        <v>15.888000000000002</v>
      </c>
    </row>
    <row r="42">
      <c r="R42" s="1">
        <v>1.0</v>
      </c>
      <c r="S42" s="2">
        <v>15.888</v>
      </c>
    </row>
  </sheetData>
  <mergeCells count="2">
    <mergeCell ref="B1:G1"/>
    <mergeCell ref="I1:N1"/>
  </mergeCells>
  <drawing r:id="rId1"/>
</worksheet>
</file>