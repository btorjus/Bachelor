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jro\Documents\GitHub\Bachelor\data\CylinderTransduser\"/>
    </mc:Choice>
  </mc:AlternateContent>
  <xr:revisionPtr revIDLastSave="0" documentId="13_ncr:1_{0E0E47A5-851B-496E-8DFE-773217E27E9E}" xr6:coauthVersionLast="47" xr6:coauthVersionMax="47" xr10:uidLastSave="{00000000-0000-0000-0000-000000000000}"/>
  <bookViews>
    <workbookView xWindow="-98" yWindow="-98" windowWidth="23236" windowHeight="13875" xr2:uid="{AD92D090-37B1-4D85-9043-B221BBD43E04}"/>
  </bookViews>
  <sheets>
    <sheet name="cylind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D20" i="1"/>
  <c r="D21" i="1"/>
  <c r="D22" i="1"/>
  <c r="D23" i="1"/>
  <c r="D24" i="1"/>
  <c r="D25" i="1"/>
  <c r="D26" i="1"/>
  <c r="D27" i="1"/>
  <c r="D28" i="1"/>
  <c r="D18" i="1"/>
  <c r="D3" i="1" l="1"/>
  <c r="D4" i="1"/>
  <c r="D5" i="1"/>
  <c r="D6" i="1"/>
  <c r="D7" i="1"/>
  <c r="D8" i="1"/>
  <c r="D9" i="1"/>
  <c r="D10" i="1"/>
  <c r="D11" i="1"/>
  <c r="D12" i="1"/>
  <c r="D13" i="1"/>
</calcChain>
</file>

<file path=xl/sharedStrings.xml><?xml version="1.0" encoding="utf-8"?>
<sst xmlns="http://schemas.openxmlformats.org/spreadsheetml/2006/main" count="16" uniqueCount="12">
  <si>
    <t>Fysisk måling [m]</t>
  </si>
  <si>
    <t>Posisjonstransduser [m]</t>
  </si>
  <si>
    <t>Delta</t>
  </si>
  <si>
    <t>fPistonMeasured skal være raw transduser bare normalisert til 0.5m</t>
  </si>
  <si>
    <t>Brukte stållinjal så målingen har en grei feilmargin, hvis jeg finner en bedre løsning må det gjøres på nytt</t>
  </si>
  <si>
    <t>Cylinder position</t>
  </si>
  <si>
    <t>Run 2</t>
  </si>
  <si>
    <t>Lag polynom</t>
  </si>
  <si>
    <t>Spool position</t>
  </si>
  <si>
    <t>u</t>
  </si>
  <si>
    <t>spool_up</t>
  </si>
  <si>
    <t>spool_down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</si>
</sst>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IBM Plex Sans SmBld"/>
      <family val="2"/>
    </font>
    <font>
      <sz val="11"/>
      <name val="Calibri"/>
      <family val="2"/>
    </font>
    <font>
      <sz val="11"/>
      <color theme="1"/>
      <name val="IBM Plex Sans"/>
      <family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2" fillId="0" borderId="0" xfId="1"/>
    <xf numFmtId="0" fontId="0" fillId="0" borderId="0" xfId="0" applyAlignment="1">
      <alignment horizontal="left"/>
    </xf>
    <xf numFmtId="0" fontId="3" fillId="3" borderId="0" xfId="0" applyFont="1" applyFill="1" applyAlignment="1">
      <alignment horizontal="left"/>
    </xf>
    <xf numFmtId="0" fontId="3" fillId="0" borderId="0" xfId="0" applyFont="1"/>
    <xf numFmtId="0" fontId="2" fillId="2" borderId="0" xfId="1" applyFill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B2D0BFA9-8F16-431C-B775-073B7921E3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Pos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cylinder!$B$3:$B$13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0.15026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0.35020000000000001</c:v>
                </c:pt>
                <c:pt idx="8">
                  <c:v>0.40500000000000003</c:v>
                </c:pt>
                <c:pt idx="9">
                  <c:v>0.45</c:v>
                </c:pt>
                <c:pt idx="10">
                  <c:v>0.5</c:v>
                </c:pt>
              </c:numCache>
            </c:numRef>
          </c:xVal>
          <c:yVal>
            <c:numRef>
              <c:f>cylinder!$D$3:$D$13</c:f>
              <c:numCache>
                <c:formatCode>General</c:formatCode>
                <c:ptCount val="11"/>
                <c:pt idx="0">
                  <c:v>0</c:v>
                </c:pt>
                <c:pt idx="1">
                  <c:v>-3.9999999999999966E-3</c:v>
                </c:pt>
                <c:pt idx="2">
                  <c:v>-0.03</c:v>
                </c:pt>
                <c:pt idx="3">
                  <c:v>-8.7399999999999978E-3</c:v>
                </c:pt>
                <c:pt idx="4">
                  <c:v>-1.3999999999999985E-2</c:v>
                </c:pt>
                <c:pt idx="5">
                  <c:v>-1.6000000000000014E-2</c:v>
                </c:pt>
                <c:pt idx="6">
                  <c:v>-2.0000000000000018E-2</c:v>
                </c:pt>
                <c:pt idx="7">
                  <c:v>-1.6799999999999982E-2</c:v>
                </c:pt>
                <c:pt idx="8">
                  <c:v>-9.9999999999999534E-3</c:v>
                </c:pt>
                <c:pt idx="9">
                  <c:v>-9.000000000000008E-3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F03-4967-AC9B-55D3B8598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5822815"/>
        <c:axId val="1903520111"/>
      </c:scatterChart>
      <c:valAx>
        <c:axId val="1605822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903520111"/>
        <c:crosses val="autoZero"/>
        <c:crossBetween val="midCat"/>
      </c:valAx>
      <c:valAx>
        <c:axId val="190352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05822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 error 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6"/>
            <c:dispRSqr val="0"/>
            <c:dispEq val="1"/>
            <c:trendlineLbl>
              <c:layout>
                <c:manualLayout>
                  <c:x val="0.13766956897552923"/>
                  <c:y val="-0.5945686323997841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b-NO"/>
                </a:p>
              </c:txPr>
            </c:trendlineLbl>
          </c:trendline>
          <c:xVal>
            <c:numRef>
              <c:f>cylinder!$B$18:$B$28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</c:numCache>
            </c:numRef>
          </c:xVal>
          <c:yVal>
            <c:numRef>
              <c:f>cylinder!$D$18:$D$28</c:f>
              <c:numCache>
                <c:formatCode>General</c:formatCode>
                <c:ptCount val="11"/>
                <c:pt idx="0">
                  <c:v>0</c:v>
                </c:pt>
                <c:pt idx="1">
                  <c:v>9.9999999999999395E-4</c:v>
                </c:pt>
                <c:pt idx="2">
                  <c:v>1.0000000000000009E-3</c:v>
                </c:pt>
                <c:pt idx="3">
                  <c:v>9.000000000000008E-3</c:v>
                </c:pt>
                <c:pt idx="4">
                  <c:v>1.2999999999999984E-2</c:v>
                </c:pt>
                <c:pt idx="5">
                  <c:v>1.7000000000000015E-2</c:v>
                </c:pt>
                <c:pt idx="6">
                  <c:v>1.8500000000000016E-2</c:v>
                </c:pt>
                <c:pt idx="7">
                  <c:v>1.9000000000000017E-2</c:v>
                </c:pt>
                <c:pt idx="8">
                  <c:v>1.4999999999999958E-2</c:v>
                </c:pt>
                <c:pt idx="9">
                  <c:v>1.0000000000000009E-2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063-474A-BA4F-800AC2736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2642879"/>
        <c:axId val="762642399"/>
      </c:scatterChart>
      <c:valAx>
        <c:axId val="762642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762642399"/>
        <c:crosses val="autoZero"/>
        <c:crossBetween val="midCat"/>
      </c:valAx>
      <c:valAx>
        <c:axId val="762642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7626428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uReal</a:t>
            </a:r>
            <a:r>
              <a:rPr lang="nb-NO" baseline="0"/>
              <a:t> vs uSignal, up</a:t>
            </a:r>
            <a:endParaRPr lang="nb-N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b-NO"/>
                </a:p>
              </c:txPr>
            </c:trendlineLbl>
          </c:trendline>
          <c:xVal>
            <c:numRef>
              <c:f>cylinder!$B$40:$B$55</c:f>
              <c:numCache>
                <c:formatCode>General</c:formatCode>
                <c:ptCount val="16"/>
                <c:pt idx="0">
                  <c:v>0.25</c:v>
                </c:pt>
                <c:pt idx="1">
                  <c:v>0.3</c:v>
                </c:pt>
                <c:pt idx="2">
                  <c:v>0.35</c:v>
                </c:pt>
                <c:pt idx="3">
                  <c:v>0.4</c:v>
                </c:pt>
                <c:pt idx="4">
                  <c:v>0.45</c:v>
                </c:pt>
                <c:pt idx="5">
                  <c:v>0.5</c:v>
                </c:pt>
                <c:pt idx="6">
                  <c:v>0.55000000000000004</c:v>
                </c:pt>
                <c:pt idx="7">
                  <c:v>0.6</c:v>
                </c:pt>
                <c:pt idx="8">
                  <c:v>0.65</c:v>
                </c:pt>
                <c:pt idx="9">
                  <c:v>0.7</c:v>
                </c:pt>
                <c:pt idx="10">
                  <c:v>0.75</c:v>
                </c:pt>
                <c:pt idx="11">
                  <c:v>0.8</c:v>
                </c:pt>
                <c:pt idx="12">
                  <c:v>0.85</c:v>
                </c:pt>
                <c:pt idx="13">
                  <c:v>0.9</c:v>
                </c:pt>
                <c:pt idx="14">
                  <c:v>0.95</c:v>
                </c:pt>
                <c:pt idx="15">
                  <c:v>1</c:v>
                </c:pt>
              </c:numCache>
            </c:numRef>
          </c:xVal>
          <c:yVal>
            <c:numRef>
              <c:f>cylinder!$C$40:$C$55</c:f>
              <c:numCache>
                <c:formatCode>General</c:formatCode>
                <c:ptCount val="16"/>
                <c:pt idx="0">
                  <c:v>0.246124941286989</c:v>
                </c:pt>
                <c:pt idx="1">
                  <c:v>0.30366369187411901</c:v>
                </c:pt>
                <c:pt idx="2">
                  <c:v>0.35979333020197202</c:v>
                </c:pt>
                <c:pt idx="3">
                  <c:v>0.413574448097698</c:v>
                </c:pt>
                <c:pt idx="4">
                  <c:v>0.470173790511977</c:v>
                </c:pt>
                <c:pt idx="5">
                  <c:v>0.52489431658055397</c:v>
                </c:pt>
                <c:pt idx="6">
                  <c:v>0.58243306716768395</c:v>
                </c:pt>
                <c:pt idx="7">
                  <c:v>0.63856270549553695</c:v>
                </c:pt>
                <c:pt idx="8">
                  <c:v>0.69751056834194403</c:v>
                </c:pt>
                <c:pt idx="9">
                  <c:v>0.75082198215124396</c:v>
                </c:pt>
                <c:pt idx="10">
                  <c:v>0.80742132456552296</c:v>
                </c:pt>
                <c:pt idx="11">
                  <c:v>0.86261155472052597</c:v>
                </c:pt>
                <c:pt idx="12">
                  <c:v>0.91498356035697503</c:v>
                </c:pt>
                <c:pt idx="13">
                  <c:v>0.973461719116956</c:v>
                </c:pt>
                <c:pt idx="14">
                  <c:v>1</c:v>
                </c:pt>
                <c:pt idx="15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B4-43EB-8ADC-FB51E3910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9934543"/>
        <c:axId val="895625519"/>
      </c:scatterChart>
      <c:valAx>
        <c:axId val="1219934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895625519"/>
        <c:crosses val="autoZero"/>
        <c:crossBetween val="midCat"/>
      </c:valAx>
      <c:valAx>
        <c:axId val="89562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2199345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116681</xdr:colOff>
      <xdr:row>4</xdr:row>
      <xdr:rowOff>9525</xdr:rowOff>
    </xdr:from>
    <xdr:to>
      <xdr:col>13</xdr:col>
      <xdr:colOff>11906</xdr:colOff>
      <xdr:row>19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1AFD129-1541-D3E8-5E82-18694C2DF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107155</xdr:colOff>
      <xdr:row>20</xdr:row>
      <xdr:rowOff>47625</xdr:rowOff>
    </xdr:from>
    <xdr:to>
      <xdr:col>13</xdr:col>
      <xdr:colOff>2380</xdr:colOff>
      <xdr:row>35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D0FF9-9070-B977-8444-24C2CF1444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388143</xdr:colOff>
      <xdr:row>36</xdr:row>
      <xdr:rowOff>147637</xdr:rowOff>
    </xdr:from>
    <xdr:to>
      <xdr:col>12</xdr:col>
      <xdr:colOff>209550</xdr:colOff>
      <xdr:row>51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2554EF-334C-9439-FD82-FB446033C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49714-3586-4A93-AA4E-11E81A6892D2}">
  <dimension ref="A1:O55"/>
  <sheetViews>
    <sheetView tabSelected="1" topLeftCell="B31" zoomScale="116" zoomScaleNormal="161" workbookViewId="0">
      <selection activeCell="F36" sqref="F36"/>
    </sheetView>
  </sheetViews>
  <sheetFormatPr defaultRowHeight="14.25" x14ac:dyDescent="0.45"/>
  <cols>
    <col min="2" max="2" width="23.6640625" customWidth="1"/>
    <col min="3" max="3" width="27.9296875" customWidth="1"/>
    <col min="4" max="4" width="14.1328125" customWidth="1"/>
    <col min="5" max="5" width="13.59765625" customWidth="1"/>
    <col min="7" max="7" width="11.06640625" customWidth="1"/>
  </cols>
  <sheetData>
    <row r="1" spans="1:8" ht="15" x14ac:dyDescent="0.5">
      <c r="B1" s="9" t="s">
        <v>5</v>
      </c>
      <c r="C1" s="10"/>
      <c r="D1" s="10"/>
    </row>
    <row r="2" spans="1:8" ht="15.4" thickBot="1" x14ac:dyDescent="0.55000000000000004">
      <c r="B2" s="6" t="s">
        <v>1</v>
      </c>
      <c r="C2" s="6" t="s">
        <v>0</v>
      </c>
      <c r="D2" s="6" t="s">
        <v>2</v>
      </c>
      <c r="G2" s="3" t="s">
        <v>3</v>
      </c>
    </row>
    <row r="3" spans="1:8" ht="15" x14ac:dyDescent="0.5">
      <c r="B3" s="5">
        <v>0</v>
      </c>
      <c r="C3" s="5">
        <v>0</v>
      </c>
      <c r="D3" s="5">
        <f t="shared" ref="D3:D13" si="0">B3-C3</f>
        <v>0</v>
      </c>
      <c r="F3" s="1"/>
      <c r="G3" s="4" t="s">
        <v>4</v>
      </c>
    </row>
    <row r="4" spans="1:8" x14ac:dyDescent="0.45">
      <c r="B4" s="5">
        <v>0.05</v>
      </c>
      <c r="C4" s="5">
        <v>5.3999999999999999E-2</v>
      </c>
      <c r="D4" s="5">
        <f t="shared" si="0"/>
        <v>-3.9999999999999966E-3</v>
      </c>
      <c r="F4" s="1"/>
    </row>
    <row r="5" spans="1:8" x14ac:dyDescent="0.45">
      <c r="B5" s="5">
        <v>0.1</v>
      </c>
      <c r="C5" s="5">
        <v>0.13</v>
      </c>
      <c r="D5" s="5">
        <f t="shared" si="0"/>
        <v>-0.03</v>
      </c>
      <c r="F5" s="1"/>
    </row>
    <row r="6" spans="1:8" x14ac:dyDescent="0.45">
      <c r="B6" s="5">
        <v>0.15026</v>
      </c>
      <c r="C6" s="5">
        <v>0.159</v>
      </c>
      <c r="D6" s="5">
        <f t="shared" si="0"/>
        <v>-8.7399999999999978E-3</v>
      </c>
      <c r="F6" s="1"/>
    </row>
    <row r="7" spans="1:8" x14ac:dyDescent="0.45">
      <c r="B7" s="5">
        <v>0.2</v>
      </c>
      <c r="C7" s="5">
        <v>0.214</v>
      </c>
      <c r="D7" s="5">
        <f t="shared" si="0"/>
        <v>-1.3999999999999985E-2</v>
      </c>
      <c r="F7" s="1"/>
    </row>
    <row r="8" spans="1:8" x14ac:dyDescent="0.45">
      <c r="B8" s="5">
        <v>0.25</v>
      </c>
      <c r="C8" s="5">
        <v>0.26600000000000001</v>
      </c>
      <c r="D8" s="5">
        <f t="shared" si="0"/>
        <v>-1.6000000000000014E-2</v>
      </c>
      <c r="F8" s="1"/>
      <c r="H8" s="2"/>
    </row>
    <row r="9" spans="1:8" x14ac:dyDescent="0.45">
      <c r="B9" s="5">
        <v>0.3</v>
      </c>
      <c r="C9" s="5">
        <v>0.32</v>
      </c>
      <c r="D9" s="5">
        <f t="shared" si="0"/>
        <v>-2.0000000000000018E-2</v>
      </c>
      <c r="F9" s="1"/>
    </row>
    <row r="10" spans="1:8" x14ac:dyDescent="0.45">
      <c r="B10" s="5">
        <v>0.35020000000000001</v>
      </c>
      <c r="C10" s="5">
        <v>0.36699999999999999</v>
      </c>
      <c r="D10" s="5">
        <f t="shared" si="0"/>
        <v>-1.6799999999999982E-2</v>
      </c>
      <c r="F10" s="1"/>
    </row>
    <row r="11" spans="1:8" x14ac:dyDescent="0.45">
      <c r="B11" s="5">
        <v>0.40500000000000003</v>
      </c>
      <c r="C11" s="5">
        <v>0.41499999999999998</v>
      </c>
      <c r="D11" s="5">
        <f t="shared" si="0"/>
        <v>-9.9999999999999534E-3</v>
      </c>
      <c r="F11" s="1"/>
    </row>
    <row r="12" spans="1:8" x14ac:dyDescent="0.45">
      <c r="B12" s="5">
        <v>0.45</v>
      </c>
      <c r="C12" s="5">
        <v>0.45900000000000002</v>
      </c>
      <c r="D12" s="5">
        <f t="shared" si="0"/>
        <v>-9.000000000000008E-3</v>
      </c>
      <c r="F12" s="1"/>
    </row>
    <row r="13" spans="1:8" x14ac:dyDescent="0.45">
      <c r="B13" s="5">
        <v>0.5</v>
      </c>
      <c r="C13" s="5">
        <v>0.5</v>
      </c>
      <c r="D13" s="5">
        <f t="shared" si="0"/>
        <v>0</v>
      </c>
      <c r="F13" s="1"/>
    </row>
    <row r="15" spans="1:8" x14ac:dyDescent="0.45">
      <c r="A15" t="s">
        <v>6</v>
      </c>
    </row>
    <row r="16" spans="1:8" ht="15" x14ac:dyDescent="0.5">
      <c r="B16" s="9" t="s">
        <v>5</v>
      </c>
      <c r="C16" s="10"/>
      <c r="D16" s="10"/>
    </row>
    <row r="17" spans="2:15" ht="15.4" thickBot="1" x14ac:dyDescent="0.55000000000000004">
      <c r="B17" s="6" t="s">
        <v>1</v>
      </c>
      <c r="C17" s="6" t="s">
        <v>0</v>
      </c>
      <c r="D17" s="6" t="s">
        <v>2</v>
      </c>
    </row>
    <row r="18" spans="2:15" x14ac:dyDescent="0.45">
      <c r="B18" s="5">
        <v>0</v>
      </c>
      <c r="C18" s="5">
        <v>0</v>
      </c>
      <c r="D18" s="5">
        <f>C18-B18</f>
        <v>0</v>
      </c>
    </row>
    <row r="19" spans="2:15" x14ac:dyDescent="0.45">
      <c r="B19" s="5">
        <v>0.05</v>
      </c>
      <c r="C19" s="5">
        <v>5.0999999999999997E-2</v>
      </c>
      <c r="D19" s="5">
        <f t="shared" ref="D19:D28" si="1">C19-B19</f>
        <v>9.9999999999999395E-4</v>
      </c>
    </row>
    <row r="20" spans="2:15" x14ac:dyDescent="0.45">
      <c r="B20" s="5">
        <v>0.1</v>
      </c>
      <c r="C20" s="5">
        <v>0.10100000000000001</v>
      </c>
      <c r="D20" s="5">
        <f t="shared" si="1"/>
        <v>1.0000000000000009E-3</v>
      </c>
    </row>
    <row r="21" spans="2:15" x14ac:dyDescent="0.45">
      <c r="B21" s="5">
        <v>0.15</v>
      </c>
      <c r="C21" s="5">
        <v>0.159</v>
      </c>
      <c r="D21" s="5">
        <f t="shared" si="1"/>
        <v>9.000000000000008E-3</v>
      </c>
    </row>
    <row r="22" spans="2:15" x14ac:dyDescent="0.45">
      <c r="B22" s="5">
        <v>0.2</v>
      </c>
      <c r="C22" s="5">
        <v>0.21299999999999999</v>
      </c>
      <c r="D22" s="5">
        <f t="shared" si="1"/>
        <v>1.2999999999999984E-2</v>
      </c>
    </row>
    <row r="23" spans="2:15" x14ac:dyDescent="0.45">
      <c r="B23" s="5">
        <v>0.25</v>
      </c>
      <c r="C23" s="5">
        <v>0.26700000000000002</v>
      </c>
      <c r="D23" s="5">
        <f t="shared" si="1"/>
        <v>1.7000000000000015E-2</v>
      </c>
    </row>
    <row r="24" spans="2:15" x14ac:dyDescent="0.45">
      <c r="B24" s="5">
        <v>0.3</v>
      </c>
      <c r="C24" s="5">
        <v>0.31850000000000001</v>
      </c>
      <c r="D24" s="5">
        <f t="shared" si="1"/>
        <v>1.8500000000000016E-2</v>
      </c>
    </row>
    <row r="25" spans="2:15" x14ac:dyDescent="0.45">
      <c r="B25" s="5">
        <v>0.35</v>
      </c>
      <c r="C25" s="5">
        <v>0.36899999999999999</v>
      </c>
      <c r="D25" s="5">
        <f t="shared" si="1"/>
        <v>1.9000000000000017E-2</v>
      </c>
      <c r="O25" t="s">
        <v>7</v>
      </c>
    </row>
    <row r="26" spans="2:15" x14ac:dyDescent="0.45">
      <c r="B26" s="5">
        <v>0.4</v>
      </c>
      <c r="C26" s="5">
        <v>0.41499999999999998</v>
      </c>
      <c r="D26" s="5">
        <f t="shared" si="1"/>
        <v>1.4999999999999958E-2</v>
      </c>
    </row>
    <row r="27" spans="2:15" x14ac:dyDescent="0.45">
      <c r="B27" s="5">
        <v>0.45</v>
      </c>
      <c r="C27" s="5">
        <v>0.46</v>
      </c>
      <c r="D27" s="5">
        <f t="shared" si="1"/>
        <v>1.0000000000000009E-2</v>
      </c>
    </row>
    <row r="28" spans="2:15" x14ac:dyDescent="0.45">
      <c r="B28" s="5">
        <v>0.5</v>
      </c>
      <c r="C28" s="5">
        <v>0.5</v>
      </c>
      <c r="D28" s="5">
        <f t="shared" si="1"/>
        <v>0</v>
      </c>
    </row>
    <row r="38" spans="2:5" ht="15" x14ac:dyDescent="0.5">
      <c r="B38" s="9" t="s">
        <v>8</v>
      </c>
      <c r="C38" s="9"/>
      <c r="D38" s="9"/>
      <c r="E38" s="9"/>
    </row>
    <row r="39" spans="2:5" ht="15.4" thickBot="1" x14ac:dyDescent="0.55000000000000004">
      <c r="B39" s="6" t="s">
        <v>9</v>
      </c>
      <c r="C39" s="6" t="s">
        <v>10</v>
      </c>
      <c r="D39" s="6" t="s">
        <v>11</v>
      </c>
      <c r="E39" s="6"/>
    </row>
    <row r="40" spans="2:5" x14ac:dyDescent="0.45">
      <c r="B40" s="5">
        <v>0.25</v>
      </c>
      <c r="C40" s="8">
        <v>0.246124941286989</v>
      </c>
      <c r="D40" s="5"/>
      <c r="E40" s="7"/>
    </row>
    <row r="41" spans="2:5" x14ac:dyDescent="0.45">
      <c r="B41" s="5">
        <v>0.3</v>
      </c>
      <c r="C41" s="8">
        <v>0.30366369187411901</v>
      </c>
      <c r="D41" s="5"/>
      <c r="E41" s="7"/>
    </row>
    <row r="42" spans="2:5" x14ac:dyDescent="0.45">
      <c r="B42" s="5">
        <v>0.35</v>
      </c>
      <c r="C42" s="8">
        <v>0.35979333020197202</v>
      </c>
      <c r="D42" s="5"/>
      <c r="E42" s="7"/>
    </row>
    <row r="43" spans="2:5" x14ac:dyDescent="0.45">
      <c r="B43" s="5">
        <v>0.4</v>
      </c>
      <c r="C43" s="8">
        <v>0.413574448097698</v>
      </c>
      <c r="D43" s="5"/>
      <c r="E43" s="7"/>
    </row>
    <row r="44" spans="2:5" x14ac:dyDescent="0.45">
      <c r="B44" s="5">
        <v>0.45</v>
      </c>
      <c r="C44" s="8">
        <v>0.470173790511977</v>
      </c>
      <c r="D44" s="5"/>
      <c r="E44" s="7"/>
    </row>
    <row r="45" spans="2:5" x14ac:dyDescent="0.45">
      <c r="B45" s="5">
        <v>0.5</v>
      </c>
      <c r="C45" s="5">
        <v>0.52489431658055397</v>
      </c>
      <c r="D45" s="5"/>
      <c r="E45" s="7"/>
    </row>
    <row r="46" spans="2:5" x14ac:dyDescent="0.45">
      <c r="B46" s="5">
        <v>0.55000000000000004</v>
      </c>
      <c r="C46" s="5">
        <v>0.58243306716768395</v>
      </c>
      <c r="D46" s="5"/>
      <c r="E46" s="7"/>
    </row>
    <row r="47" spans="2:5" x14ac:dyDescent="0.45">
      <c r="B47" s="5">
        <v>0.6</v>
      </c>
      <c r="C47" s="5">
        <v>0.63856270549553695</v>
      </c>
      <c r="D47" s="5"/>
      <c r="E47" s="7"/>
    </row>
    <row r="48" spans="2:5" x14ac:dyDescent="0.45">
      <c r="B48" s="5">
        <v>0.65</v>
      </c>
      <c r="C48" s="5">
        <v>0.69751056834194403</v>
      </c>
      <c r="D48" s="5"/>
      <c r="E48" s="7"/>
    </row>
    <row r="49" spans="2:5" x14ac:dyDescent="0.45">
      <c r="B49" s="5">
        <v>0.7</v>
      </c>
      <c r="C49" s="5">
        <v>0.75082198215124396</v>
      </c>
      <c r="D49" s="5"/>
      <c r="E49" s="7"/>
    </row>
    <row r="50" spans="2:5" x14ac:dyDescent="0.45">
      <c r="B50" s="5">
        <v>0.75</v>
      </c>
      <c r="C50" s="5">
        <v>0.80742132456552296</v>
      </c>
      <c r="D50" s="5"/>
      <c r="E50" s="7"/>
    </row>
    <row r="51" spans="2:5" x14ac:dyDescent="0.45">
      <c r="B51" s="5">
        <v>0.8</v>
      </c>
      <c r="C51" s="5">
        <v>0.86261155472052597</v>
      </c>
      <c r="D51" s="7"/>
      <c r="E51" s="7"/>
    </row>
    <row r="52" spans="2:5" x14ac:dyDescent="0.45">
      <c r="B52" s="5">
        <v>0.85</v>
      </c>
      <c r="C52" s="5">
        <v>0.91498356035697503</v>
      </c>
      <c r="D52" s="7"/>
      <c r="E52" s="7"/>
    </row>
    <row r="53" spans="2:5" x14ac:dyDescent="0.45">
      <c r="B53" s="5">
        <v>0.9</v>
      </c>
      <c r="C53" s="5">
        <v>0.973461719116956</v>
      </c>
      <c r="D53" s="7"/>
      <c r="E53" s="7"/>
    </row>
    <row r="54" spans="2:5" x14ac:dyDescent="0.45">
      <c r="B54" s="5">
        <v>0.95</v>
      </c>
      <c r="C54" s="5">
        <v>1</v>
      </c>
      <c r="D54" s="7"/>
      <c r="E54" s="7"/>
    </row>
    <row r="55" spans="2:5" x14ac:dyDescent="0.45">
      <c r="B55" s="5">
        <v>1</v>
      </c>
      <c r="C55" s="5">
        <v>1</v>
      </c>
      <c r="D55" s="7"/>
      <c r="E55" s="7"/>
    </row>
  </sheetData>
  <mergeCells count="3">
    <mergeCell ref="B1:D1"/>
    <mergeCell ref="B16:D16"/>
    <mergeCell ref="B38:E38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cylinder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Torjus Brekke</dc:creator>
  <cp:lastModifiedBy>Torjus Brekke</cp:lastModifiedBy>
  <dcterms:created xsi:type="dcterms:W3CDTF">2026-02-05T12:05:35Z</dcterms:created>
  <dcterms:modified xsi:type="dcterms:W3CDTF">2026-03-02T15:03:22Z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95cf23d-70b0-4a80-9221-1d774ac27fb2_Enabled">
    <vt:lpwstr>true</vt:lpwstr>
  </property>
  <property fmtid="{D5CDD505-2E9C-101B-9397-08002B2CF9AE}" pid="3" name="MSIP_Label_695cf23d-70b0-4a80-9221-1d774ac27fb2_SetDate">
    <vt:lpwstr>2026-02-05T12:05:36Z</vt:lpwstr>
  </property>
  <property fmtid="{D5CDD505-2E9C-101B-9397-08002B2CF9AE}" pid="4" name="MSIP_Label_695cf23d-70b0-4a80-9221-1d774ac27fb2_Method">
    <vt:lpwstr>Standard</vt:lpwstr>
  </property>
  <property fmtid="{D5CDD505-2E9C-101B-9397-08002B2CF9AE}" pid="5" name="MSIP_Label_695cf23d-70b0-4a80-9221-1d774ac27fb2_Name">
    <vt:lpwstr>Document internal</vt:lpwstr>
  </property>
  <property fmtid="{D5CDD505-2E9C-101B-9397-08002B2CF9AE}" pid="6" name="MSIP_Label_695cf23d-70b0-4a80-9221-1d774ac27fb2_SiteId">
    <vt:lpwstr>8482881e-3699-4b3f-b135-cf4800bc1efb</vt:lpwstr>
  </property>
  <property fmtid="{D5CDD505-2E9C-101B-9397-08002B2CF9AE}" pid="7" name="MSIP_Label_695cf23d-70b0-4a80-9221-1d774ac27fb2_ActionId">
    <vt:lpwstr>594c8c50-a671-4fb7-a09d-1130f0e81c6c</vt:lpwstr>
  </property>
  <property fmtid="{D5CDD505-2E9C-101B-9397-08002B2CF9AE}" pid="8" name="MSIP_Label_695cf23d-70b0-4a80-9221-1d774ac27fb2_ContentBits">
    <vt:lpwstr>0</vt:lpwstr>
  </property>
  <property fmtid="{D5CDD505-2E9C-101B-9397-08002B2CF9AE}" pid="9" name="MSIP_Label_695cf23d-70b0-4a80-9221-1d774ac27fb2_Tag">
    <vt:lpwstr>10, 3, 0, 1</vt:lpwstr>
  </property>
</Properties>
</file>